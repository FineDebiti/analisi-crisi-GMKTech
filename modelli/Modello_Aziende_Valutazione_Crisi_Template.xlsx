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nagrafica_azienda" sheetId="2" state="visible" r:id="rId4"/>
    <sheet name="bilancio_sp" sheetId="3" state="visible" r:id="rId5"/>
    <sheet name="bilancio_ce" sheetId="4" state="visible" r:id="rId6"/>
    <sheet name="indici_bilancio" sheetId="5" state="visible" r:id="rId7"/>
    <sheet name="flussi_cassa" sheetId="6" state="visible" r:id="rId8"/>
    <sheet name="allerta_ccii" sheetId="7" state="visible" r:id="rId9"/>
    <sheet name="passivo_creditori" sheetId="8" state="visible" r:id="rId10"/>
    <sheet name="scenario_riparto" sheetId="9" state="visible" r:id="rId11"/>
    <sheet name="documenti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<sst xmlns="http://schemas.openxmlformats.org/spreadsheetml/2006/main" count="334" uniqueCount="276">
  <si>
    <t xml:space="preserve">  ⚖  VALUTAZIONE PREVENTIVA CRISI D'IMPRESA · CRUSCOTTO</t>
  </si>
  <si>
    <t xml:space="preserve">  D.Lgs. 14/2019 — Codice della Crisi d'Impresa e dell'Insolvenza — versione Aziende</t>
  </si>
  <si>
    <t xml:space="preserve">  FASCICOLO</t>
  </si>
  <si>
    <t xml:space="preserve">Azienda</t>
  </si>
  <si>
    <t xml:space="preserve">Forma giuridica</t>
  </si>
  <si>
    <t xml:space="preserve">Procedura ipotizzata</t>
  </si>
  <si>
    <t xml:space="preserve">Tribunale competente</t>
  </si>
  <si>
    <t xml:space="preserve">Advisor</t>
  </si>
  <si>
    <t xml:space="preserve">Data situazione di riferimento</t>
  </si>
  <si>
    <t xml:space="preserve">  RIEPILOGO PATRIMONIALE E FINANZIARIO (ultimo esercizio)</t>
  </si>
  <si>
    <t xml:space="preserve">TOTALE ATTIVO</t>
  </si>
  <si>
    <t xml:space="preserve">TOTALE PASSIVO</t>
  </si>
  <si>
    <t xml:space="preserve">PATRIMONIO NETTO</t>
  </si>
  <si>
    <t xml:space="preserve">EBITDA ULTIMO ESERCIZIO</t>
  </si>
  <si>
    <t xml:space="preserve">CURRENT RATIO</t>
  </si>
  <si>
    <t xml:space="preserve">LEVERAGE (PASSIVO/PN)</t>
  </si>
  <si>
    <t xml:space="preserve">DSCR PROSPETTICO A 6 MESI</t>
  </si>
  <si>
    <t xml:space="preserve">SEMAFORO ALLERTA CCII</t>
  </si>
  <si>
    <t xml:space="preserve">  PASSIVO PER CLASSE</t>
  </si>
  <si>
    <t xml:space="preserve">  AVANZAMENTO FASCICOLO</t>
  </si>
  <si>
    <t xml:space="preserve">Prededucibile</t>
  </si>
  <si>
    <t xml:space="preserve">Documenti ricevuti / totale</t>
  </si>
  <si>
    <t xml:space="preserve">Privilegio speciale (ipoteca / pegno)</t>
  </si>
  <si>
    <t xml:space="preserve">% documenti ricevuti</t>
  </si>
  <si>
    <t xml:space="preserve">Privilegio generale - lavoratori (art. 2751-bis c.c.)</t>
  </si>
  <si>
    <t xml:space="preserve">Criticita' rilevate (indicatori allerta)</t>
  </si>
  <si>
    <t xml:space="preserve">Privilegio generale - tributi e contributi</t>
  </si>
  <si>
    <t xml:space="preserve">Test PN (capitale minimo / negativo)</t>
  </si>
  <si>
    <t xml:space="preserve">Chirografario</t>
  </si>
  <si>
    <t xml:space="preserve">Cruscotto ad uso interno per la valutazione preventiva: tutti i valori sono collegati (celle verdi) ai fogli di dettaglio. Compilare anagrafica_azienda, bilancio_sp, bilancio_ce, flussi_cassa e passivo_creditori; gli altri fogli si aggiornano automaticamente. Nessuna macro, nessuna protezione: il file e' interamente modificabile.</t>
  </si>
  <si>
    <t xml:space="preserve">  ANAGRAFICA AZIENDA</t>
  </si>
  <si>
    <t xml:space="preserve">  Dati identificativi, organi e inquadramento della crisi</t>
  </si>
  <si>
    <t xml:space="preserve">  DATI IDENTIFICATIVI</t>
  </si>
  <si>
    <t xml:space="preserve">Ragione sociale</t>
  </si>
  <si>
    <t xml:space="preserve">Partita IVA</t>
  </si>
  <si>
    <t xml:space="preserve">Codice fiscale</t>
  </si>
  <si>
    <t xml:space="preserve">Sede legale</t>
  </si>
  <si>
    <t xml:space="preserve">Numero REA / CCIAA</t>
  </si>
  <si>
    <t xml:space="preserve">Settore ATECO</t>
  </si>
  <si>
    <t xml:space="preserve">Data di costituzione</t>
  </si>
  <si>
    <t xml:space="preserve">Capitale sociale (€)</t>
  </si>
  <si>
    <t xml:space="preserve">N. dipendenti attuali</t>
  </si>
  <si>
    <t xml:space="preserve">Stato dell'impresa</t>
  </si>
  <si>
    <t xml:space="preserve">  ORGANI E PROFESSIONISTI</t>
  </si>
  <si>
    <t xml:space="preserve">Legale rappresentante</t>
  </si>
  <si>
    <t xml:space="preserve">Organo di controllo (sindaco / revisore)</t>
  </si>
  <si>
    <t xml:space="preserve">Advisor / consulente incaricato</t>
  </si>
  <si>
    <t xml:space="preserve">C.F. Advisor</t>
  </si>
  <si>
    <t xml:space="preserve">Attestatore (se nominato)</t>
  </si>
  <si>
    <t xml:space="preserve">Curatore / Commissario / Liquidatore (se nominato)</t>
  </si>
  <si>
    <t xml:space="preserve">N. R.G. (se procedura aperta)</t>
  </si>
  <si>
    <t xml:space="preserve">  INQUADRAMENTO DELLA CRISI</t>
  </si>
  <si>
    <t xml:space="preserve">Procedura ipotizzata / in corso</t>
  </si>
  <si>
    <t xml:space="preserve">Data situazione economico-patrimoniale di rif.</t>
  </si>
  <si>
    <t xml:space="preserve">Continuita' aziendale ritenuta prospetticamente sostenibile</t>
  </si>
  <si>
    <t xml:space="preserve">Note di sintesi sullo stato di crisi</t>
  </si>
  <si>
    <t xml:space="preserve">  Legenda: celle su sfondo giallo pallido e testo blu = dati da inserire manualmente. I fogli successivi richiamano automaticamente i dati inseriti qui (celle in verde = collegamento ad altro foglio).</t>
  </si>
  <si>
    <t xml:space="preserve">  BILANCIO · STATO PATRIMONIALE RICLASSIFICATO</t>
  </si>
  <si>
    <t xml:space="preserve">  Valori in euro · inserire i dati di bilancio nelle colonne gialle</t>
  </si>
  <si>
    <t xml:space="preserve">Voce</t>
  </si>
  <si>
    <t xml:space="preserve">Anno -2</t>
  </si>
  <si>
    <t xml:space="preserve">Anno -1</t>
  </si>
  <si>
    <t xml:space="preserve">Anno corrente / previsionale</t>
  </si>
  <si>
    <t xml:space="preserve">  ATTIVO</t>
  </si>
  <si>
    <t xml:space="preserve">Immobilizzazioni immateriali</t>
  </si>
  <si>
    <t xml:space="preserve">Immobilizzazioni materiali</t>
  </si>
  <si>
    <t xml:space="preserve">Immobilizzazioni finanziarie</t>
  </si>
  <si>
    <t xml:space="preserve">TOTALE IMMOBILIZZAZIONI (B)</t>
  </si>
  <si>
    <t xml:space="preserve">Rimanenze (magazzino)</t>
  </si>
  <si>
    <t xml:space="preserve">Crediti verso clienti</t>
  </si>
  <si>
    <t xml:space="preserve">Altri crediti a breve</t>
  </si>
  <si>
    <t xml:space="preserve">Disponibilita' liquide (cassa e banche)</t>
  </si>
  <si>
    <t xml:space="preserve">TOTALE ATTIVO CIRCOLANTE (C)</t>
  </si>
  <si>
    <t xml:space="preserve">Ratei e risconti attivi (D)</t>
  </si>
  <si>
    <t xml:space="preserve">  PASSIVO</t>
  </si>
  <si>
    <t xml:space="preserve">Capitale sociale</t>
  </si>
  <si>
    <t xml:space="preserve">Riserve</t>
  </si>
  <si>
    <t xml:space="preserve">Utile/(perdita) esercizi precedenti</t>
  </si>
  <si>
    <t xml:space="preserve">Utile/(perdita) dell'esercizio</t>
  </si>
  <si>
    <t xml:space="preserve">TOTALE PATRIMONIO NETTO (A)</t>
  </si>
  <si>
    <t xml:space="preserve">Fondi per rischi e oneri</t>
  </si>
  <si>
    <t xml:space="preserve">TFR - Trattamento di fine rapporto</t>
  </si>
  <si>
    <t xml:space="preserve">Debiti verso banche (oltre 12 mesi)</t>
  </si>
  <si>
    <t xml:space="preserve">Debiti verso banche (entro 12 mesi)</t>
  </si>
  <si>
    <t xml:space="preserve">Debiti verso fornitori</t>
  </si>
  <si>
    <t xml:space="preserve">Debiti tributari</t>
  </si>
  <si>
    <t xml:space="preserve">Debiti verso istituti previdenziali</t>
  </si>
  <si>
    <t xml:space="preserve">Altri debiti</t>
  </si>
  <si>
    <t xml:space="preserve">TOTALE DEBITI E FONDI (D)</t>
  </si>
  <si>
    <t xml:space="preserve">Ratei e risconti passivi (E)</t>
  </si>
  <si>
    <t xml:space="preserve">Quadratura (Attivo - Passivo, deve essere 0)</t>
  </si>
  <si>
    <t xml:space="preserve">  INDICATORI DI SINTESI PATRIMONIALE</t>
  </si>
  <si>
    <t xml:space="preserve">Capitale Circolante Netto (CCN) = Att.circolante - Debiti a breve + ratei</t>
  </si>
  <si>
    <t xml:space="preserve">Patrimonio Netto negativo? (campanello d'allarme art. 2482-bis/ter c.c.)</t>
  </si>
  <si>
    <t xml:space="preserve">Fonte: inserire i valori dagli ultimi 3 bilanci depositati (o situazione contabile infrannuale per l'anno corrente). La colonna 'Anno corrente / previsionale' puo' ospitare anche una situazione infrannuale aggiornata alla data di analisi. 'Utile/(perdita) dell'esercizio' e' collegato automaticamente al foglio bilancio_ce.</t>
  </si>
  <si>
    <t xml:space="preserve">  BILANCIO · CONTO ECONOMICO RICLASSIFICATO A VALORE AGGIUNTO</t>
  </si>
  <si>
    <t xml:space="preserve">Ricavi delle vendite e delle prestazioni</t>
  </si>
  <si>
    <t xml:space="preserve">Variazione delle rimanenze di prodotti</t>
  </si>
  <si>
    <t xml:space="preserve">Altri ricavi e proventi</t>
  </si>
  <si>
    <t xml:space="preserve">VALORE DELLA PRODUZIONE</t>
  </si>
  <si>
    <t xml:space="preserve">Costi per materie prime, sussidiarie e merci</t>
  </si>
  <si>
    <t xml:space="preserve">Costi per servizi</t>
  </si>
  <si>
    <t xml:space="preserve">Costi per godimento beni di terzi</t>
  </si>
  <si>
    <t xml:space="preserve">Oneri diversi di gestione</t>
  </si>
  <si>
    <t xml:space="preserve">VALORE AGGIUNTO</t>
  </si>
  <si>
    <t xml:space="preserve">Costo del personale (incl. oneri e TFR)</t>
  </si>
  <si>
    <t xml:space="preserve">EBITDA (MARGINE OPERATIVO LORDO)</t>
  </si>
  <si>
    <t xml:space="preserve">Ammortamenti e svalutazioni</t>
  </si>
  <si>
    <t xml:space="preserve">Accantonamenti per rischi e oneri</t>
  </si>
  <si>
    <t xml:space="preserve">EBIT (RISULTATO OPERATIVO)</t>
  </si>
  <si>
    <t xml:space="preserve">Proventi finanziari</t>
  </si>
  <si>
    <t xml:space="preserve">Oneri finanziari</t>
  </si>
  <si>
    <t xml:space="preserve">Componenti straordinarie / non ricorrenti (nette)</t>
  </si>
  <si>
    <t xml:space="preserve">EBT (RISULTATO ANTE IMPOSTE)</t>
  </si>
  <si>
    <t xml:space="preserve">Imposte sul reddito (correnti e differite)</t>
  </si>
  <si>
    <t xml:space="preserve">UTILE / (PERDITA) NETTO D'ESERCIZIO</t>
  </si>
  <si>
    <t xml:space="preserve">  MARGINI IN % DEI RICAVI</t>
  </si>
  <si>
    <t xml:space="preserve">EBITDA margin (EBITDA / Ricavi)</t>
  </si>
  <si>
    <t xml:space="preserve">EBIT margin (EBIT / Ricavi)</t>
  </si>
  <si>
    <t xml:space="preserve">Incidenza costo del personale su Valore Aggiunto</t>
  </si>
  <si>
    <t xml:space="preserve">Fonte: riclassificazione a valore aggiunto dai bilanci depositati (voci A/B del Conto Economico civilistico art. 2425 c.c.). Per l'anno corrente usare l'ultima situazione contabile disponibile o il budget previsionale, specificando la fonte in una nota separata.</t>
  </si>
  <si>
    <t xml:space="preserve">  INDICI DI BILANCIO</t>
  </si>
  <si>
    <t xml:space="preserve">  Indici di liquidita', solidita', redditivita' ed efficienza — calcolati automaticamente da bilancio_sp e bilancio_ce</t>
  </si>
  <si>
    <t xml:space="preserve">Indice</t>
  </si>
  <si>
    <t xml:space="preserve">  LIQUIDITA'</t>
  </si>
  <si>
    <t xml:space="preserve">Capitale Circolante Netto (CCN)</t>
  </si>
  <si>
    <t xml:space="preserve">Current ratio (Attivo circ. / Debiti a breve)</t>
  </si>
  <si>
    <t xml:space="preserve">Quick ratio (Att.circ. - Rimanenze) / Debiti a breve</t>
  </si>
  <si>
    <t xml:space="preserve">  SOLIDITA'</t>
  </si>
  <si>
    <t xml:space="preserve">Indice di indebitamento (Leverage = Tot.Passivo / PN)</t>
  </si>
  <si>
    <t xml:space="preserve">Indice di autonomia finanziaria (PN / Tot.Attivo)</t>
  </si>
  <si>
    <t xml:space="preserve">Indice di copertura immobilizzazioni (PN / Immob.)</t>
  </si>
  <si>
    <t xml:space="preserve">Debiti finanziari / EBITDA</t>
  </si>
  <si>
    <t xml:space="preserve">  REDDITIVITA'</t>
  </si>
  <si>
    <t xml:space="preserve">ROE (Utile netto / Patrimonio Netto)</t>
  </si>
  <si>
    <t xml:space="preserve">ROI approssimato (EBIT / Totale Attivo)</t>
  </si>
  <si>
    <t xml:space="preserve">ROS (EBIT / Ricavi)</t>
  </si>
  <si>
    <t xml:space="preserve">ROA (Utile netto / Totale Attivo)</t>
  </si>
  <si>
    <t xml:space="preserve">  EFFICIENZA E ROTAZIONE (in giorni)</t>
  </si>
  <si>
    <t xml:space="preserve">DSO - giorni medi incasso crediti clienti</t>
  </si>
  <si>
    <t xml:space="preserve">DPO - giorni medi pagamento fornitori</t>
  </si>
  <si>
    <t xml:space="preserve">DIO - giorni medi di giacenza magazzino</t>
  </si>
  <si>
    <t xml:space="preserve">Ciclo di cassa (DSO + DIO - DPO)</t>
  </si>
  <si>
    <t xml:space="preserve">ROI qui inteso in forma approssimata (EBIT/Totale Attivo); per un ROI in senso stretto occorrerebbe isolare il solo capitale investito operativo, al netto delle attivita' extra-caratteristiche — adattare se rilevante per il caso concreto.</t>
  </si>
  <si>
    <t xml:space="preserve">  FLUSSI DI CASSA PROSPETTICI A 12 MESI</t>
  </si>
  <si>
    <t xml:space="preserve">  Test di continuita' aziendale e DSCR — inserire i dati nelle colonne gialle</t>
  </si>
  <si>
    <t xml:space="preserve">  Orizzonte: 12 mesi dalla data di riferimento indicata in anagrafica_azienda!C30</t>
  </si>
  <si>
    <t xml:space="preserve">Mese 1</t>
  </si>
  <si>
    <t xml:space="preserve">Mese 2</t>
  </si>
  <si>
    <t xml:space="preserve">Mese 3</t>
  </si>
  <si>
    <t xml:space="preserve">Mese 4</t>
  </si>
  <si>
    <t xml:space="preserve">Mese 5</t>
  </si>
  <si>
    <t xml:space="preserve">Mese 6</t>
  </si>
  <si>
    <t xml:space="preserve">Mese 7</t>
  </si>
  <si>
    <t xml:space="preserve">Mese 8</t>
  </si>
  <si>
    <t xml:space="preserve">Mese 9</t>
  </si>
  <si>
    <t xml:space="preserve">Mese 10</t>
  </si>
  <si>
    <t xml:space="preserve">Mese 11</t>
  </si>
  <si>
    <t xml:space="preserve">Mese 12</t>
  </si>
  <si>
    <t xml:space="preserve">Saldo iniziale di cassa</t>
  </si>
  <si>
    <t xml:space="preserve">Incassi operativi (clienti + altri incassi)</t>
  </si>
  <si>
    <t xml:space="preserve">Uscite operative (fornitori, personale, tributi, altri — escluse rate)</t>
  </si>
  <si>
    <t xml:space="preserve">FLUSSO OPERATIVO NETTO DEL MESE</t>
  </si>
  <si>
    <t xml:space="preserve">Rate di debito (capitale + interessi) in scadenza nel mese</t>
  </si>
  <si>
    <t xml:space="preserve">FLUSSO DI CASSA NETTO DEL MESE (dopo servizio del debito)</t>
  </si>
  <si>
    <t xml:space="preserve">SALDO FINALE DI CASSA</t>
  </si>
  <si>
    <t xml:space="preserve">DSCR mensile (Flusso operativo / Rata del mese)</t>
  </si>
  <si>
    <t xml:space="preserve">  SINTESI SEMESTRALE PER IL TEST DSCR (art. 3 CCII)</t>
  </si>
  <si>
    <t xml:space="preserve">Somma flusso operativo netto - primi 6 mesi</t>
  </si>
  <si>
    <t xml:space="preserve">Somma rate di debito in scadenza - primi 6 mesi</t>
  </si>
  <si>
    <t xml:space="preserve">DSCR a 6 mesi (prospettico)</t>
  </si>
  <si>
    <t xml:space="preserve">Saldo di cassa minimo previsto nei 12 mesi</t>
  </si>
  <si>
    <t xml:space="preserve">Mese con saldo di cassa piu' basso</t>
  </si>
  <si>
    <t xml:space="preserve">Il DSCR (Debt Service Coverage Ratio) confronta il flusso di cassa operativo disponibile con il servizio del debito (rate capitale+interessi) nell'orizzonte di riferimento; e' l'indicatore-chiave richiamato dall'art. 3 CCII e dal Principio di attestazione. Soglia indicativa generalmente utilizzata: DSCR &gt;= 1 nei 6 mesi successivi.</t>
  </si>
  <si>
    <t xml:space="preserve">  INDICATORI DI ALLERTA E ADEGUATEZZA DEGLI ASSETTI (art. 3 CCII)</t>
  </si>
  <si>
    <t xml:space="preserve">  Test del patrimonio netto, DSCR prospettico e indicatori CNDCEC</t>
  </si>
  <si>
    <t xml:space="preserve">  TEST DEL PATRIMONIO NETTO</t>
  </si>
  <si>
    <t xml:space="preserve">Patrimonio Netto (ultimo esercizio)</t>
  </si>
  <si>
    <t xml:space="preserve">Capitale sociale minimo di legge per la forma giuridica</t>
  </si>
  <si>
    <t xml:space="preserve">€10.000 S.r.l. (€1 se s.r.l.s./PMI semplificata) · €50.000 S.p.A./S.a.p.a. — verificare il caso concreto</t>
  </si>
  <si>
    <t xml:space="preserve">Esito</t>
  </si>
  <si>
    <t xml:space="preserve">  DSCR PROSPETTICO A 6 MESI</t>
  </si>
  <si>
    <t xml:space="preserve">DSCR a 6 mesi (da flussi_cassa)</t>
  </si>
  <si>
    <t xml:space="preserve">Soglia minima indicativa</t>
  </si>
  <si>
    <t xml:space="preserve">  INDICATORI SIGNIFICATIVI (rif. indicatori CNDCEC ex art. 3 CCII)</t>
  </si>
  <si>
    <t xml:space="preserve">Indicatore</t>
  </si>
  <si>
    <t xml:space="preserve">Valore</t>
  </si>
  <si>
    <t xml:space="preserve">Soglia di riferimento
(indicativa, da aggiornare per settore)</t>
  </si>
  <si>
    <t xml:space="preserve">Sostenibilita' oneri finanziari (Oneri fin. / Ricavi)</t>
  </si>
  <si>
    <t xml:space="preserve">Adeguatezza patrimoniale (PN / Debiti totali)</t>
  </si>
  <si>
    <t xml:space="preserve">Ritorno liquido dell'attivo (Cash flow / Tot. Attivo)</t>
  </si>
  <si>
    <t xml:space="preserve">Liquidita' (Attivo circolante / Passivo a breve)</t>
  </si>
  <si>
    <t xml:space="preserve">Indebitamento previdenziale e tributario scaduto / Attivo</t>
  </si>
  <si>
    <t xml:space="preserve">Le soglie 2024-2025 pubblicate dal CNDCEC sono differenziate per settore ATECO e vanno reperite di anno in anno; i valori sopra sono soglie generiche di lavoro (colonna D, modificabile) da sostituire con quelle ufficiali del settore specifico prima di ogni valutazione formale. 'Indebitamento previdenziale e tributario scaduto' va inserito manualmente (colonna C) perche' non desumibile dal solo bilancio riclassificato.</t>
  </si>
  <si>
    <t xml:space="preserve">  SEMAFORO COMPLESSIVO</t>
  </si>
  <si>
    <t xml:space="preserve">N. indicatori con esito diverso da OK (su 7: PN, DSCR, 5 indicatori CNDCEC)</t>
  </si>
  <si>
    <t xml:space="preserve">Esito complessivo</t>
  </si>
  <si>
    <t xml:space="preserve">  PASSIVO · ELENCO CREDITORI PER CLASSE E GRADO DI PRELAZIONE</t>
  </si>
  <si>
    <t xml:space="preserve">  Compilare la tabella creditori — i totali per classe si aggiornano automaticamente</t>
  </si>
  <si>
    <t xml:space="preserve">  RIEPILOGO PASSIVO PER CLASSE</t>
  </si>
  <si>
    <t xml:space="preserve">Classe</t>
  </si>
  <si>
    <t xml:space="preserve">Totale</t>
  </si>
  <si>
    <t xml:space="preserve">% sul totale passivo</t>
  </si>
  <si>
    <t xml:space="preserve">  ELENCO ANALITICO DEI CREDITORI</t>
  </si>
  <si>
    <t xml:space="preserve">Creditore</t>
  </si>
  <si>
    <t xml:space="preserve">Natura del credito</t>
  </si>
  <si>
    <t xml:space="preserve">Bene / garanzia</t>
  </si>
  <si>
    <t xml:space="preserve">Importo €</t>
  </si>
  <si>
    <t xml:space="preserve">Selezionare la Classe da elenco a discesa in colonna B della tabella analitica: il riepilogo per classe in alto si aggiorna da solo (SUMIF). Il presente foglio alimenta il foglio 'scenario_riparto'.</t>
  </si>
  <si>
    <t xml:space="preserve">  SCENARI DI RISANAMENTO · TEST DEL MIGLIOR SODDISFACIMENTO DEI CREDITORI</t>
  </si>
  <si>
    <t xml:space="preserve">  Confronto tra alternative e cascata di riparto per classe di privilegio</t>
  </si>
  <si>
    <t xml:space="preserve">  CONFRONTO SCENARI (best interest of creditors test)</t>
  </si>
  <si>
    <t xml:space="preserve">Scenario</t>
  </si>
  <si>
    <t xml:space="preserve">Attivo realizzabile stimato</t>
  </si>
  <si>
    <t xml:space="preserve">Costi di procedura stimati</t>
  </si>
  <si>
    <t xml:space="preserve">Attivo netto disponibile</t>
  </si>
  <si>
    <t xml:space="preserve">% sodd. Privilegiati</t>
  </si>
  <si>
    <t xml:space="preserve">% sodd. Chirografari</t>
  </si>
  <si>
    <t xml:space="preserve">Liquidazione giudiziale (baseline)</t>
  </si>
  <si>
    <t xml:space="preserve">Concordato preventivo liquidatorio</t>
  </si>
  <si>
    <t xml:space="preserve">Concordato preventivo in continuita'</t>
  </si>
  <si>
    <t xml:space="preserve">Piano attestato / Accordo di ristrutturazione</t>
  </si>
  <si>
    <t xml:space="preserve">% di soddisfazione stimate in forma sintetica: i Privilegiati (prededucibili + privilegio speciale + privilegio generale) sono soddisfatti in ordine di grado fino a capienza dell'attivo netto; i Chirografari ricevono l'eventuale residuo. E' una stima aggregata di primo orientamento: per il singolo creditore garantito da un bene specifico, il grado di soddisfazione reale dipende dal valore di realizzo di quel bene (cascata dettagliata sotto).</t>
  </si>
  <si>
    <t xml:space="preserve">  CASCATA DI RIPARTO DETTAGLIATA PER CLASSE (scenario selezionato)</t>
  </si>
  <si>
    <t xml:space="preserve">Scenario da dettagliare</t>
  </si>
  <si>
    <t xml:space="preserve">Attivo netto disponibile (dal confronto sopra)</t>
  </si>
  <si>
    <t xml:space="preserve">Credito totale</t>
  </si>
  <si>
    <t xml:space="preserve">Residuo attivo ante classe</t>
  </si>
  <si>
    <t xml:space="preserve">Assegnato</t>
  </si>
  <si>
    <t xml:space="preserve">% soddisfazione</t>
  </si>
  <si>
    <t xml:space="preserve">TOTALE</t>
  </si>
  <si>
    <t xml:space="preserve">Attivo residuo non distribuito</t>
  </si>
  <si>
    <t xml:space="preserve">Colonna 'Residuo attivo ante classe' = attivo ancora disponibile prima di soddisfare questa classe. Ogni classe e' soddisfatta fino a concorrenza del credito totale, in ordine di grado; l'eventuale eccedenza passa alla classe successiva (metodo a cascata semplificato per classi omogenee, non sostituisce il piano di riparto analitico per singolo creditore che richiede la ripartizione pro-quota all'interno di ciascuna classe se il credito di classe non e' soddisfatto per intero).</t>
  </si>
  <si>
    <t xml:space="preserve">  CHECKLIST DOCUMENTALE</t>
  </si>
  <si>
    <t xml:space="preserve">  Raccolta e fascicolazione allegati — stato di avanzamento</t>
  </si>
  <si>
    <t xml:space="preserve">Documento</t>
  </si>
  <si>
    <t xml:space="preserve">Stato</t>
  </si>
  <si>
    <t xml:space="preserve">Data ricezione</t>
  </si>
  <si>
    <t xml:space="preserve">Note</t>
  </si>
  <si>
    <t xml:space="preserve">  SOCIETARI E CAMERALI</t>
  </si>
  <si>
    <t xml:space="preserve">Visura camerale aggiornata</t>
  </si>
  <si>
    <t xml:space="preserve">Da richiedere</t>
  </si>
  <si>
    <t xml:space="preserve">Statuto e atto costitutivo vigenti</t>
  </si>
  <si>
    <t xml:space="preserve">Libro soci / titolare effettivo</t>
  </si>
  <si>
    <t xml:space="preserve">Verbali assembleari ultimi 3 esercizi</t>
  </si>
  <si>
    <t xml:space="preserve">Visura storica cariche societarie</t>
  </si>
  <si>
    <t xml:space="preserve">  BILANCI E CONTABILITA'</t>
  </si>
  <si>
    <t xml:space="preserve">Bilanci depositati ultimi 3 esercizi</t>
  </si>
  <si>
    <t xml:space="preserve">Situazione contabile infrannuale aggiornata</t>
  </si>
  <si>
    <t xml:space="preserve">Libro giornale e libro inventari</t>
  </si>
  <si>
    <t xml:space="preserve">Registro cespiti ammortizzabili</t>
  </si>
  <si>
    <t xml:space="preserve">Nota integrativa e relazione sulla gestione</t>
  </si>
  <si>
    <t xml:space="preserve">  FISCALE E PREVIDENZIALE</t>
  </si>
  <si>
    <t xml:space="preserve">Estratto di ruolo Agenzia Entrate-Riscossione</t>
  </si>
  <si>
    <t xml:space="preserve">Certificato carichi pendenti</t>
  </si>
  <si>
    <t xml:space="preserve">Dichiarazioni IVA e IRAP ultimi 3 esercizi</t>
  </si>
  <si>
    <t xml:space="preserve">DURC</t>
  </si>
  <si>
    <t xml:space="preserve">Posizione debitoria INPS/INAIL</t>
  </si>
  <si>
    <t xml:space="preserve">  BANCARIO E FINANZIARIO</t>
  </si>
  <si>
    <t xml:space="preserve">Centrale rischi Banca d'Italia</t>
  </si>
  <si>
    <t xml:space="preserve">Elenco conti correnti attivi/chiusi</t>
  </si>
  <si>
    <t xml:space="preserve">Piani di ammortamento mutui e finanziamenti</t>
  </si>
  <si>
    <t xml:space="preserve">Contratti di leasing in essere</t>
  </si>
  <si>
    <t xml:space="preserve">Fideiussioni rilasciate/ricevute</t>
  </si>
  <si>
    <t xml:space="preserve">  CONTRATTI E GARANZIE</t>
  </si>
  <si>
    <t xml:space="preserve">Elenco contratti attivi rilevanti</t>
  </si>
  <si>
    <t xml:space="preserve">Contratti di locazione immobili/rami d'azienda</t>
  </si>
  <si>
    <t xml:space="preserve">Garanzie reali (ipoteche, pegni) iscritte</t>
  </si>
  <si>
    <t xml:space="preserve">Contenziosi e azioni esecutive in corso</t>
  </si>
  <si>
    <t xml:space="preserve">  PROCEDURA</t>
  </si>
  <si>
    <t xml:space="preserve">Relazione sulle cause della crisi</t>
  </si>
  <si>
    <t xml:space="preserve">Piano industriale / piano di risanamento</t>
  </si>
  <si>
    <t xml:space="preserve">Elenco creditori con importi e cause</t>
  </si>
  <si>
    <t xml:space="preserve">Mandato al professionista incaricato</t>
  </si>
  <si>
    <t xml:space="preserve">Attestazione (se richiesta dalla procedura prescelta)</t>
  </si>
  <si>
    <t xml:space="preserve">Aggiornare lo stato mano a mano che i documenti vengono raccolti: il conteggio in dashboard si aggiorna automaticamente.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</si>
</sst>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;;;@"/>
    <numFmt numFmtId="166" formatCode="#,##0;[RED]\-#,##0;\-"/>
    <numFmt numFmtId="167" formatCode="0.00\x"/>
    <numFmt numFmtId="168" formatCode="@"/>
    <numFmt numFmtId="169" formatCode="0.0%;[RED]\-0.0%;\-"/>
    <numFmt numFmtId="170" formatCode="dd/mm/yyyy"/>
    <numFmt numFmtId="171" formatCode="#,##0&quot; gg&quot;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2E5B8A"/>
      </patternFill>
    </fill>
    <fill>
      <patternFill patternType="solid">
        <fgColor rgb="FFDCE6F1"/>
        <bgColor rgb="FFEDEDED"/>
      </patternFill>
    </fill>
    <fill>
      <patternFill patternType="solid">
        <fgColor rgb="FFF4F8FC"/>
        <bgColor rgb="FFFFFFFF"/>
      </patternFill>
    </fill>
    <fill>
      <patternFill patternType="solid">
        <fgColor rgb="FFFFFDE7"/>
        <bgColor rgb="FFFFFFFF"/>
      </patternFill>
    </fill>
    <fill>
      <patternFill patternType="solid">
        <fgColor rgb="FF2E5B8A"/>
        <bgColor rgb="FF1F4E78"/>
      </patternFill>
    </fill>
    <fill>
      <patternFill patternType="solid">
        <fgColor rgb="FFEDEDED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CE4E4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DE7"/>
      <rgbColor rgb="FFDCE6F1"/>
      <rgbColor rgb="FF660066"/>
      <rgbColor rgb="FFFF8080"/>
      <rgbColor rgb="FF2E5B8A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8FC"/>
      <rgbColor rgb="FFE2F0D9"/>
      <rgbColor rgb="FFFFF2CC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5" min="2" style="0" width="20"/>
    <col collapsed="false" customWidth="true" hidden="false" outlineLevel="0" max="6" min="6" style="0" width="3"/>
    <col collapsed="false" customWidth="true" hidden="false" outlineLevel="0" max="10" min="7" style="0" width="20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</row>
    <row r="3" customFormat="false" ht="15.7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  <c r="J3" s="2"/>
    </row>
    <row r="5" customFormat="false" ht="18" hidden="false" customHeight="true" outlineLevel="0" collapsed="false">
      <c r="B5" s="3" t="s">
        <v>2</v>
      </c>
      <c r="C5" s="3"/>
      <c r="D5" s="3"/>
      <c r="E5" s="3"/>
      <c r="F5" s="3"/>
      <c r="G5" s="3"/>
      <c r="H5" s="3"/>
      <c r="I5" s="3"/>
      <c r="J5" s="3"/>
    </row>
    <row r="6" customFormat="false" ht="15" hidden="false" customHeight="false" outlineLevel="0" collapsed="false">
      <c r="B6" s="4" t="s">
        <v>3</v>
      </c>
      <c r="E6" s="4" t="s">
        <v>4</v>
      </c>
      <c r="G6" s="4" t="s">
        <v>5</v>
      </c>
    </row>
    <row r="7" customFormat="false" ht="15" hidden="false" customHeight="false" outlineLevel="0" collapsed="false">
      <c r="B7" s="5" t="str">
        <f aca="false">IF(anagrafica_azienda!C6="","- da compilare -",anagrafica_azienda!C6)</f>
        <v>- da compilare -</v>
      </c>
      <c r="C7" s="5"/>
      <c r="D7" s="5"/>
      <c r="E7" s="5" t="str">
        <f aca="false">IF(anagrafica_azienda!C7="","- da compilare -",anagrafica_azienda!C7)</f>
        <v>- da compilare -</v>
      </c>
      <c r="F7" s="5"/>
      <c r="G7" s="5" t="str">
        <f aca="false">IF(anagrafica_azienda!C29="","- da compilare -",anagrafica_azienda!C29)</f>
        <v>- da compilare -</v>
      </c>
      <c r="H7" s="5"/>
      <c r="I7" s="5"/>
      <c r="J7" s="5"/>
    </row>
    <row r="9" customFormat="false" ht="15" hidden="false" customHeight="false" outlineLevel="0" collapsed="false">
      <c r="B9" s="4" t="s">
        <v>6</v>
      </c>
      <c r="E9" s="4" t="s">
        <v>7</v>
      </c>
      <c r="G9" s="4" t="s">
        <v>8</v>
      </c>
    </row>
    <row r="10" customFormat="false" ht="15" hidden="false" customHeight="false" outlineLevel="0" collapsed="false">
      <c r="B10" s="5" t="str">
        <f aca="false">IF(anagrafica_azienda!C25="","- da compilare -",anagrafica_azienda!C25)</f>
        <v>- da compilare -</v>
      </c>
      <c r="C10" s="5"/>
      <c r="D10" s="5"/>
      <c r="E10" s="5" t="str">
        <f aca="false">IF(anagrafica_azienda!C21="","- da compilare -",anagrafica_azienda!C21)</f>
        <v>- da compilare -</v>
      </c>
      <c r="F10" s="5"/>
      <c r="G10" s="6" t="str">
        <f aca="false">IF(anagrafica_azienda!C30="","- da compilare -",anagrafica_azienda!C30)</f>
        <v>- da compilare -</v>
      </c>
      <c r="H10" s="6"/>
      <c r="I10" s="6"/>
      <c r="J10" s="6"/>
    </row>
    <row r="12" customFormat="false" ht="18" hidden="false" customHeight="true" outlineLevel="0" collapsed="false">
      <c r="B12" s="3" t="s">
        <v>9</v>
      </c>
      <c r="C12" s="3"/>
      <c r="D12" s="3"/>
      <c r="E12" s="3"/>
      <c r="F12" s="3"/>
      <c r="G12" s="3"/>
      <c r="H12" s="3"/>
      <c r="I12" s="3"/>
      <c r="J12" s="3"/>
    </row>
    <row r="13" customFormat="false" ht="15" hidden="false" customHeight="false" outlineLevel="0" collapsed="false">
      <c r="B13" s="7" t="s">
        <v>10</v>
      </c>
      <c r="D13" s="7" t="s">
        <v>11</v>
      </c>
      <c r="F13" s="7" t="s">
        <v>12</v>
      </c>
      <c r="H13" s="7" t="s">
        <v>13</v>
      </c>
    </row>
    <row r="14" customFormat="false" ht="19.7" hidden="false" customHeight="false" outlineLevel="0" collapsed="false">
      <c r="B14" s="8" t="n">
        <f aca="false">bilancio_sp!E20</f>
        <v>0</v>
      </c>
      <c r="D14" s="8" t="n">
        <f aca="false">bilancio_sp!E41</f>
        <v>0</v>
      </c>
      <c r="F14" s="8" t="n">
        <f aca="false">bilancio_sp!E27</f>
        <v>0</v>
      </c>
      <c r="H14" s="8" t="n">
        <f aca="false">bilancio_ce!E18</f>
        <v>0</v>
      </c>
    </row>
    <row r="16" customFormat="false" ht="15" hidden="false" customHeight="false" outlineLevel="0" collapsed="false">
      <c r="B16" s="7" t="s">
        <v>14</v>
      </c>
      <c r="D16" s="7" t="s">
        <v>15</v>
      </c>
      <c r="F16" s="7" t="s">
        <v>16</v>
      </c>
      <c r="H16" s="7" t="s">
        <v>17</v>
      </c>
    </row>
    <row r="17" customFormat="false" ht="19.7" hidden="false" customHeight="false" outlineLevel="0" collapsed="false">
      <c r="B17" s="9" t="str">
        <f aca="false">indici_bilancio!E8</f>
        <v>n.d.</v>
      </c>
      <c r="D17" s="9" t="str">
        <f aca="false">indici_bilancio!E12</f>
        <v>n.d.</v>
      </c>
      <c r="F17" s="9" t="str">
        <f aca="false">flussi_cassa!D18</f>
        <v>n.d.</v>
      </c>
      <c r="H17" s="10" t="str">
        <f aca="false">allerta_ccii!C27</f>
        <v>ROSSO - piu indicatori in allerta, valutare con advisor</v>
      </c>
    </row>
    <row r="19" customFormat="false" ht="18" hidden="false" customHeight="true" outlineLevel="0" collapsed="false">
      <c r="B19" s="3" t="s">
        <v>18</v>
      </c>
      <c r="C19" s="3"/>
      <c r="D19" s="3"/>
      <c r="E19" s="3"/>
      <c r="G19" s="3" t="s">
        <v>19</v>
      </c>
      <c r="H19" s="3"/>
      <c r="I19" s="3"/>
      <c r="J19" s="3"/>
    </row>
    <row r="20" customFormat="false" ht="15" hidden="false" customHeight="false" outlineLevel="0" collapsed="false">
      <c r="B20" s="11" t="s">
        <v>20</v>
      </c>
      <c r="D20" s="12" t="n">
        <f aca="false">passivo_creditori!C8</f>
        <v>0</v>
      </c>
      <c r="G20" s="4" t="s">
        <v>21</v>
      </c>
      <c r="I20" s="13" t="str">
        <f aca="false">COUNTIF(documenti!C6:C46,"Ricevuto")&amp;" / "&amp;COUNTA(documenti!C6:C46)</f>
        <v>0 / 29</v>
      </c>
    </row>
    <row r="21" customFormat="false" ht="15" hidden="false" customHeight="false" outlineLevel="0" collapsed="false">
      <c r="B21" s="11" t="s">
        <v>22</v>
      </c>
      <c r="D21" s="12" t="n">
        <f aca="false">passivo_creditori!C9</f>
        <v>0</v>
      </c>
      <c r="G21" s="4" t="s">
        <v>23</v>
      </c>
      <c r="I21" s="14" t="n">
        <f aca="false">IFERROR(COUNTIF(documenti!C6:C46,"Ricevuto")/COUNTA(documenti!C6:C46),"n.d.")</f>
        <v>0</v>
      </c>
    </row>
    <row r="22" customFormat="false" ht="15" hidden="false" customHeight="false" outlineLevel="0" collapsed="false">
      <c r="B22" s="11" t="s">
        <v>24</v>
      </c>
      <c r="D22" s="12" t="n">
        <f aca="false">passivo_creditori!C10</f>
        <v>0</v>
      </c>
      <c r="G22" s="4" t="s">
        <v>25</v>
      </c>
      <c r="I22" s="13" t="n">
        <f aca="false">allerta_ccii!C26</f>
        <v>3</v>
      </c>
    </row>
    <row r="23" customFormat="false" ht="15" hidden="false" customHeight="false" outlineLevel="0" collapsed="false">
      <c r="B23" s="11" t="s">
        <v>26</v>
      </c>
      <c r="D23" s="12" t="n">
        <f aca="false">passivo_creditori!C11</f>
        <v>0</v>
      </c>
      <c r="G23" s="4" t="s">
        <v>27</v>
      </c>
      <c r="I23" s="13" t="str">
        <f aca="false">allerta_ccii!C9</f>
        <v>PN SOTTO IL MINIMO LEGALE</v>
      </c>
    </row>
    <row r="24" customFormat="false" ht="15" hidden="false" customHeight="false" outlineLevel="0" collapsed="false">
      <c r="B24" s="11" t="s">
        <v>28</v>
      </c>
      <c r="D24" s="12" t="n">
        <f aca="false">passivo_creditori!C12</f>
        <v>0</v>
      </c>
    </row>
    <row r="26" customFormat="false" ht="22.35" hidden="false" customHeight="true" outlineLevel="0" collapsed="false">
      <c r="B26" s="15" t="s">
        <v>29</v>
      </c>
      <c r="C26" s="15"/>
      <c r="D26" s="15"/>
      <c r="E26" s="15"/>
      <c r="F26" s="15"/>
      <c r="G26" s="15"/>
      <c r="H26" s="15"/>
      <c r="I26" s="15"/>
      <c r="J26" s="15"/>
    </row>
  </sheetData>
  <mergeCells count="13">
    <mergeCell ref="B2:J2"/>
    <mergeCell ref="B3:J3"/>
    <mergeCell ref="B5:J5"/>
    <mergeCell ref="B7:D7"/>
    <mergeCell ref="E7:F7"/>
    <mergeCell ref="G7:J7"/>
    <mergeCell ref="B10:D10"/>
    <mergeCell ref="E10:F10"/>
    <mergeCell ref="G10:J10"/>
    <mergeCell ref="B12:J12"/>
    <mergeCell ref="B19:E19"/>
    <mergeCell ref="G19:J19"/>
    <mergeCell ref="B26:J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34"/>
    <col collapsed="false" customWidth="true" hidden="false" outlineLevel="0" max="4" min="4" style="0" width="3"/>
    <col collapsed="false" customWidth="true" hidden="false" outlineLevel="0" max="6" min="5" style="0" width="30"/>
  </cols>
  <sheetData>
    <row r="2" customFormat="false" ht="25.5" hidden="false" customHeight="true" outlineLevel="0" collapsed="false">
      <c r="B2" s="1" t="s">
        <v>30</v>
      </c>
      <c r="C2" s="1"/>
      <c r="D2" s="1"/>
      <c r="E2" s="1"/>
      <c r="F2" s="1"/>
    </row>
    <row r="3" customFormat="false" ht="15.75" hidden="false" customHeight="true" outlineLevel="0" collapsed="false">
      <c r="B3" s="2" t="s">
        <v>31</v>
      </c>
      <c r="C3" s="2"/>
      <c r="D3" s="2"/>
      <c r="E3" s="2"/>
      <c r="F3" s="2"/>
    </row>
    <row r="5" customFormat="false" ht="18" hidden="false" customHeight="true" outlineLevel="0" collapsed="false">
      <c r="B5" s="3" t="s">
        <v>32</v>
      </c>
      <c r="C5" s="3"/>
    </row>
    <row r="6" customFormat="false" ht="15" hidden="false" customHeight="false" outlineLevel="0" collapsed="false">
      <c r="B6" s="4" t="s">
        <v>33</v>
      </c>
      <c r="C6" s="16"/>
    </row>
    <row r="7" customFormat="false" ht="15" hidden="false" customHeight="false" outlineLevel="0" collapsed="false">
      <c r="B7" s="4" t="s">
        <v>4</v>
      </c>
      <c r="C7" s="16"/>
    </row>
    <row r="8" customFormat="false" ht="15" hidden="false" customHeight="false" outlineLevel="0" collapsed="false">
      <c r="B8" s="4" t="s">
        <v>34</v>
      </c>
      <c r="C8" s="16"/>
    </row>
    <row r="9" customFormat="false" ht="15" hidden="false" customHeight="false" outlineLevel="0" collapsed="false">
      <c r="B9" s="4" t="s">
        <v>35</v>
      </c>
      <c r="C9" s="16"/>
    </row>
    <row r="10" customFormat="false" ht="15" hidden="false" customHeight="false" outlineLevel="0" collapsed="false">
      <c r="B10" s="4" t="s">
        <v>36</v>
      </c>
      <c r="C10" s="16"/>
    </row>
    <row r="11" customFormat="false" ht="15" hidden="false" customHeight="false" outlineLevel="0" collapsed="false">
      <c r="B11" s="4" t="s">
        <v>37</v>
      </c>
      <c r="C11" s="16"/>
    </row>
    <row r="12" customFormat="false" ht="15" hidden="false" customHeight="false" outlineLevel="0" collapsed="false">
      <c r="B12" s="4" t="s">
        <v>38</v>
      </c>
      <c r="C12" s="16"/>
    </row>
    <row r="13" customFormat="false" ht="15" hidden="false" customHeight="false" outlineLevel="0" collapsed="false">
      <c r="B13" s="4" t="s">
        <v>39</v>
      </c>
      <c r="C13" s="16"/>
    </row>
    <row r="14" customFormat="false" ht="15" hidden="false" customHeight="false" outlineLevel="0" collapsed="false">
      <c r="B14" s="4" t="s">
        <v>40</v>
      </c>
      <c r="C14" s="17" t="n">
        <v>0</v>
      </c>
    </row>
    <row r="15" customFormat="false" ht="15" hidden="false" customHeight="false" outlineLevel="0" collapsed="false">
      <c r="B15" s="4" t="s">
        <v>41</v>
      </c>
      <c r="C15" s="16" t="n">
        <v>0</v>
      </c>
    </row>
    <row r="16" customFormat="false" ht="15" hidden="false" customHeight="false" outlineLevel="0" collapsed="false">
      <c r="B16" s="4" t="s">
        <v>42</v>
      </c>
      <c r="C16" s="16"/>
    </row>
    <row r="18" customFormat="false" ht="18" hidden="false" customHeight="true" outlineLevel="0" collapsed="false">
      <c r="B18" s="3" t="s">
        <v>43</v>
      </c>
      <c r="C18" s="3"/>
    </row>
    <row r="19" customFormat="false" ht="15" hidden="false" customHeight="false" outlineLevel="0" collapsed="false">
      <c r="B19" s="4" t="s">
        <v>44</v>
      </c>
      <c r="C19" s="16"/>
    </row>
    <row r="20" customFormat="false" ht="15" hidden="false" customHeight="false" outlineLevel="0" collapsed="false">
      <c r="B20" s="4" t="s">
        <v>45</v>
      </c>
      <c r="C20" s="16"/>
    </row>
    <row r="21" customFormat="false" ht="15" hidden="false" customHeight="false" outlineLevel="0" collapsed="false">
      <c r="B21" s="4" t="s">
        <v>46</v>
      </c>
      <c r="C21" s="16"/>
    </row>
    <row r="22" customFormat="false" ht="15" hidden="false" customHeight="false" outlineLevel="0" collapsed="false">
      <c r="B22" s="4" t="s">
        <v>47</v>
      </c>
      <c r="C22" s="16"/>
    </row>
    <row r="23" customFormat="false" ht="15" hidden="false" customHeight="false" outlineLevel="0" collapsed="false">
      <c r="B23" s="4" t="s">
        <v>48</v>
      </c>
      <c r="C23" s="16"/>
    </row>
    <row r="24" customFormat="false" ht="15" hidden="false" customHeight="false" outlineLevel="0" collapsed="false">
      <c r="B24" s="4" t="s">
        <v>49</v>
      </c>
      <c r="C24" s="16"/>
    </row>
    <row r="25" customFormat="false" ht="15" hidden="false" customHeight="false" outlineLevel="0" collapsed="false">
      <c r="B25" s="4" t="s">
        <v>6</v>
      </c>
      <c r="C25" s="16"/>
    </row>
    <row r="26" customFormat="false" ht="15" hidden="false" customHeight="false" outlineLevel="0" collapsed="false">
      <c r="B26" s="4" t="s">
        <v>50</v>
      </c>
      <c r="C26" s="16"/>
    </row>
    <row r="28" customFormat="false" ht="18" hidden="false" customHeight="true" outlineLevel="0" collapsed="false">
      <c r="B28" s="3" t="s">
        <v>51</v>
      </c>
      <c r="C28" s="3"/>
    </row>
    <row r="29" customFormat="false" ht="15" hidden="false" customHeight="false" outlineLevel="0" collapsed="false">
      <c r="B29" s="4" t="s">
        <v>52</v>
      </c>
      <c r="C29" s="16"/>
    </row>
    <row r="30" customFormat="false" ht="15" hidden="false" customHeight="false" outlineLevel="0" collapsed="false">
      <c r="B30" s="4" t="s">
        <v>53</v>
      </c>
      <c r="C30" s="18"/>
    </row>
    <row r="31" customFormat="false" ht="15" hidden="false" customHeight="false" outlineLevel="0" collapsed="false">
      <c r="B31" s="4" t="s">
        <v>54</v>
      </c>
      <c r="C31" s="16"/>
    </row>
    <row r="32" customFormat="false" ht="15" hidden="false" customHeight="false" outlineLevel="0" collapsed="false">
      <c r="B32" s="4" t="s">
        <v>55</v>
      </c>
      <c r="C32" s="19"/>
      <c r="D32" s="19"/>
      <c r="E32" s="19"/>
      <c r="F32" s="19"/>
    </row>
    <row r="33" customFormat="false" ht="15" hidden="false" customHeight="false" outlineLevel="0" collapsed="false">
      <c r="C33" s="19"/>
      <c r="D33" s="19"/>
      <c r="E33" s="19"/>
      <c r="F33" s="19"/>
    </row>
    <row r="34" customFormat="false" ht="15" hidden="false" customHeight="false" outlineLevel="0" collapsed="false">
      <c r="C34" s="19"/>
      <c r="D34" s="19"/>
      <c r="E34" s="19"/>
      <c r="F34" s="19"/>
    </row>
    <row r="35" customFormat="false" ht="15" hidden="false" customHeight="false" outlineLevel="0" collapsed="false">
      <c r="C35" s="19"/>
      <c r="D35" s="19"/>
      <c r="E35" s="19"/>
      <c r="F35" s="19"/>
    </row>
    <row r="36" customFormat="false" ht="15" hidden="false" customHeight="false" outlineLevel="0" collapsed="false">
      <c r="C36" s="19"/>
      <c r="D36" s="19"/>
      <c r="E36" s="19"/>
      <c r="F36" s="19"/>
    </row>
    <row r="38" customFormat="false" ht="22.35" hidden="false" customHeight="true" outlineLevel="0" collapsed="false">
      <c r="B38" s="15" t="s">
        <v>56</v>
      </c>
      <c r="C38" s="15"/>
      <c r="D38" s="15"/>
      <c r="E38" s="15"/>
      <c r="F38" s="15"/>
    </row>
  </sheetData>
  <mergeCells count="7">
    <mergeCell ref="B2:F2"/>
    <mergeCell ref="B3:F3"/>
    <mergeCell ref="B5:C5"/>
    <mergeCell ref="B18:C18"/>
    <mergeCell ref="B28:C28"/>
    <mergeCell ref="C32:F36"/>
    <mergeCell ref="B38:F38"/>
  </mergeCells>
  <dataValidations count="5">
    <dataValidation allowBlank="true" errorStyle="stop" operator="between" showDropDown="false" showErrorMessage="false" showInputMessage="false" sqref="C7" type="list">
      <formula1>"S.r.l.,S.r.l.s.,S.p.A.,S.a.p.a.,S.n.c.,S.a.s.,Ditta individuale,Altro"</formula1>
      <formula2>0</formula2>
    </dataValidation>
    <dataValidation allowBlank="true" errorStyle="stop" operator="between" showDropDown="false" showErrorMessage="false" showInputMessage="false" sqref="C16" type="list">
      <formula1>"Attiva,Attiva ma sostanzialmente inattiva,In liquidazione volontaria,Cessata,Altro"</formula1>
      <formula2>0</formula2>
    </dataValidation>
    <dataValidation allowBlank="true" errorStyle="stop" operator="between" showDropDown="false" showErrorMessage="false" showInputMessage="false" sqref="C20" type="list">
      <formula1>"Sindaco unico,Collegio sindacale,Revisore,Nessuno,Non dovuto"</formula1>
      <formula2>0</formula2>
    </dataValidation>
    <dataValidation allowBlank="true" errorStyle="stop" operator="between" showDropDown="false" showErrorMessage="false" showInputMessage="false" sqref="C29" type="list">
      <formula1>"Monitoraggio - nessuna procedura,Composizione negoziata,Piano attestato di risanamento,Accordo di ristrutturazione dei debiti,Concordato preventivo in continuita',Concordato preventivo liquidatorio,Liquidazione giudiziale"</formula1>
      <formula2>0</formula2>
    </dataValidation>
    <dataValidation allowBlank="true" errorStyle="stop" operator="between" showDropDown="false" showErrorMessage="false" showInputMessage="false" sqref="C31" type="list">
      <formula1>"SI,NO,Da verificare"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14"/>
    <col collapsed="false" customWidth="true" hidden="false" outlineLevel="0" max="6" min="6" style="0" width="3"/>
    <col collapsed="false" customWidth="true" hidden="false" outlineLevel="0" max="7" min="7" style="0" width="12"/>
  </cols>
  <sheetData>
    <row r="2" customFormat="false" ht="25.5" hidden="false" customHeight="true" outlineLevel="0" collapsed="false">
      <c r="B2" s="1" t="s">
        <v>57</v>
      </c>
      <c r="C2" s="1"/>
      <c r="D2" s="1"/>
      <c r="E2" s="1"/>
    </row>
    <row r="3" customFormat="false" ht="15.75" hidden="false" customHeight="true" outlineLevel="0" collapsed="false">
      <c r="B3" s="2" t="s">
        <v>58</v>
      </c>
      <c r="C3" s="2"/>
      <c r="D3" s="2"/>
      <c r="E3" s="2"/>
    </row>
    <row r="4" customFormat="false" ht="15" hidden="false" customHeight="false" outlineLevel="0" collapsed="false">
      <c r="B4" s="20" t="str">
        <f aca="false">"Riclassificazione a criterio finanziario — "&amp;anagrafica_azienda!C6</f>
        <v>Riclassificazione a criterio finanziario — </v>
      </c>
      <c r="C4" s="20"/>
      <c r="D4" s="20"/>
      <c r="E4" s="20"/>
    </row>
    <row r="5" customFormat="false" ht="30" hidden="false" customHeight="true" outlineLevel="0" collapsed="false">
      <c r="B5" s="21" t="s">
        <v>59</v>
      </c>
      <c r="C5" s="21" t="s">
        <v>60</v>
      </c>
      <c r="D5" s="21" t="s">
        <v>61</v>
      </c>
      <c r="E5" s="21" t="s">
        <v>62</v>
      </c>
    </row>
    <row r="6" customFormat="false" ht="18" hidden="false" customHeight="true" outlineLevel="0" collapsed="false">
      <c r="B6" s="3" t="s">
        <v>63</v>
      </c>
      <c r="C6" s="3"/>
      <c r="D6" s="3"/>
      <c r="E6" s="3"/>
    </row>
    <row r="7" customFormat="false" ht="15" hidden="false" customHeight="false" outlineLevel="0" collapsed="false">
      <c r="B7" s="11" t="s">
        <v>64</v>
      </c>
      <c r="C7" s="17" t="n">
        <v>0</v>
      </c>
      <c r="D7" s="17" t="n">
        <v>0</v>
      </c>
      <c r="E7" s="17" t="n">
        <v>0</v>
      </c>
    </row>
    <row r="8" customFormat="false" ht="15" hidden="false" customHeight="false" outlineLevel="0" collapsed="false">
      <c r="B8" s="11" t="s">
        <v>65</v>
      </c>
      <c r="C8" s="17" t="n">
        <v>0</v>
      </c>
      <c r="D8" s="17" t="n">
        <v>0</v>
      </c>
      <c r="E8" s="17" t="n">
        <v>0</v>
      </c>
    </row>
    <row r="9" customFormat="false" ht="15" hidden="false" customHeight="false" outlineLevel="0" collapsed="false">
      <c r="B9" s="11" t="s">
        <v>66</v>
      </c>
      <c r="C9" s="17" t="n">
        <v>0</v>
      </c>
      <c r="D9" s="17" t="n">
        <v>0</v>
      </c>
      <c r="E9" s="17" t="n">
        <v>0</v>
      </c>
    </row>
    <row r="10" customFormat="false" ht="15" hidden="false" customHeight="false" outlineLevel="0" collapsed="false">
      <c r="B10" s="4" t="s">
        <v>67</v>
      </c>
      <c r="C10" s="22" t="n">
        <f aca="false">C7+C8+C9</f>
        <v>0</v>
      </c>
      <c r="D10" s="22" t="n">
        <f aca="false">D7+D8+D9</f>
        <v>0</v>
      </c>
      <c r="E10" s="22" t="n">
        <f aca="false">E7+E8+E9</f>
        <v>0</v>
      </c>
    </row>
    <row r="12" customFormat="false" ht="15" hidden="false" customHeight="false" outlineLevel="0" collapsed="false">
      <c r="B12" s="11" t="s">
        <v>68</v>
      </c>
      <c r="C12" s="17" t="n">
        <v>0</v>
      </c>
      <c r="D12" s="17" t="n">
        <v>0</v>
      </c>
      <c r="E12" s="17" t="n">
        <v>0</v>
      </c>
    </row>
    <row r="13" customFormat="false" ht="15" hidden="false" customHeight="false" outlineLevel="0" collapsed="false">
      <c r="B13" s="11" t="s">
        <v>69</v>
      </c>
      <c r="C13" s="17" t="n">
        <v>0</v>
      </c>
      <c r="D13" s="17" t="n">
        <v>0</v>
      </c>
      <c r="E13" s="17" t="n">
        <v>0</v>
      </c>
    </row>
    <row r="14" customFormat="false" ht="15" hidden="false" customHeight="false" outlineLevel="0" collapsed="false">
      <c r="B14" s="11" t="s">
        <v>70</v>
      </c>
      <c r="C14" s="17" t="n">
        <v>0</v>
      </c>
      <c r="D14" s="17" t="n">
        <v>0</v>
      </c>
      <c r="E14" s="17" t="n">
        <v>0</v>
      </c>
    </row>
    <row r="15" customFormat="false" ht="15" hidden="false" customHeight="false" outlineLevel="0" collapsed="false">
      <c r="B15" s="11" t="s">
        <v>71</v>
      </c>
      <c r="C15" s="17" t="n">
        <v>0</v>
      </c>
      <c r="D15" s="17" t="n">
        <v>0</v>
      </c>
      <c r="E15" s="17" t="n">
        <v>0</v>
      </c>
    </row>
    <row r="16" customFormat="false" ht="15" hidden="false" customHeight="false" outlineLevel="0" collapsed="false">
      <c r="B16" s="4" t="s">
        <v>72</v>
      </c>
      <c r="C16" s="22" t="n">
        <f aca="false">SUM(C12:C15)</f>
        <v>0</v>
      </c>
      <c r="D16" s="22" t="n">
        <f aca="false">SUM(D12:D15)</f>
        <v>0</v>
      </c>
      <c r="E16" s="22" t="n">
        <f aca="false">SUM(E12:E15)</f>
        <v>0</v>
      </c>
    </row>
    <row r="18" customFormat="false" ht="15" hidden="false" customHeight="false" outlineLevel="0" collapsed="false">
      <c r="B18" s="11" t="s">
        <v>73</v>
      </c>
      <c r="C18" s="17" t="n">
        <v>0</v>
      </c>
      <c r="D18" s="17" t="n">
        <v>0</v>
      </c>
      <c r="E18" s="17" t="n">
        <v>0</v>
      </c>
    </row>
    <row r="20" customFormat="false" ht="15" hidden="false" customHeight="false" outlineLevel="0" collapsed="false">
      <c r="B20" s="4" t="s">
        <v>10</v>
      </c>
      <c r="C20" s="22" t="n">
        <f aca="false">C10+C16+C18</f>
        <v>0</v>
      </c>
      <c r="D20" s="22" t="n">
        <f aca="false">D10+D16+D18</f>
        <v>0</v>
      </c>
      <c r="E20" s="22" t="n">
        <f aca="false">E10+E16+E18</f>
        <v>0</v>
      </c>
    </row>
    <row r="22" customFormat="false" ht="18" hidden="false" customHeight="true" outlineLevel="0" collapsed="false">
      <c r="B22" s="3" t="s">
        <v>74</v>
      </c>
      <c r="C22" s="3"/>
      <c r="D22" s="3"/>
      <c r="E22" s="3"/>
    </row>
    <row r="23" customFormat="false" ht="15" hidden="false" customHeight="false" outlineLevel="0" collapsed="false">
      <c r="B23" s="11" t="s">
        <v>75</v>
      </c>
      <c r="C23" s="17" t="n">
        <v>0</v>
      </c>
      <c r="D23" s="17" t="n">
        <v>0</v>
      </c>
      <c r="E23" s="17" t="n">
        <v>0</v>
      </c>
    </row>
    <row r="24" customFormat="false" ht="15" hidden="false" customHeight="false" outlineLevel="0" collapsed="false">
      <c r="B24" s="11" t="s">
        <v>76</v>
      </c>
      <c r="C24" s="17" t="n">
        <v>0</v>
      </c>
      <c r="D24" s="17" t="n">
        <v>0</v>
      </c>
      <c r="E24" s="17" t="n">
        <v>0</v>
      </c>
    </row>
    <row r="25" customFormat="false" ht="15" hidden="false" customHeight="false" outlineLevel="0" collapsed="false">
      <c r="B25" s="11" t="s">
        <v>77</v>
      </c>
      <c r="C25" s="17" t="n">
        <v>0</v>
      </c>
      <c r="D25" s="17" t="n">
        <v>0</v>
      </c>
      <c r="E25" s="17" t="n">
        <v>0</v>
      </c>
    </row>
    <row r="26" customFormat="false" ht="15" hidden="false" customHeight="false" outlineLevel="0" collapsed="false">
      <c r="B26" s="11" t="s">
        <v>78</v>
      </c>
      <c r="C26" s="12" t="n">
        <f aca="false">bilancio_ce!C30</f>
        <v>0</v>
      </c>
      <c r="D26" s="12" t="n">
        <f aca="false">bilancio_ce!D30</f>
        <v>0</v>
      </c>
      <c r="E26" s="12" t="n">
        <f aca="false">bilancio_ce!E30</f>
        <v>0</v>
      </c>
    </row>
    <row r="27" customFormat="false" ht="15" hidden="false" customHeight="false" outlineLevel="0" collapsed="false">
      <c r="B27" s="4" t="s">
        <v>79</v>
      </c>
      <c r="C27" s="22" t="n">
        <f aca="false">C23+C24+C25+C26</f>
        <v>0</v>
      </c>
      <c r="D27" s="22" t="n">
        <f aca="false">D23+D24+D25+D26</f>
        <v>0</v>
      </c>
      <c r="E27" s="22" t="n">
        <f aca="false">E23+E24+E25+E26</f>
        <v>0</v>
      </c>
    </row>
    <row r="29" customFormat="false" ht="15" hidden="false" customHeight="false" outlineLevel="0" collapsed="false">
      <c r="B29" s="11" t="s">
        <v>80</v>
      </c>
      <c r="C29" s="17" t="n">
        <v>0</v>
      </c>
      <c r="D29" s="17" t="n">
        <v>0</v>
      </c>
      <c r="E29" s="17" t="n">
        <v>0</v>
      </c>
    </row>
    <row r="30" customFormat="false" ht="15" hidden="false" customHeight="false" outlineLevel="0" collapsed="false">
      <c r="B30" s="11" t="s">
        <v>81</v>
      </c>
      <c r="C30" s="17" t="n">
        <v>0</v>
      </c>
      <c r="D30" s="17" t="n">
        <v>0</v>
      </c>
      <c r="E30" s="17" t="n">
        <v>0</v>
      </c>
    </row>
    <row r="31" customFormat="false" ht="15" hidden="false" customHeight="false" outlineLevel="0" collapsed="false">
      <c r="B31" s="11" t="s">
        <v>82</v>
      </c>
      <c r="C31" s="17" t="n">
        <v>0</v>
      </c>
      <c r="D31" s="17" t="n">
        <v>0</v>
      </c>
      <c r="E31" s="17" t="n">
        <v>0</v>
      </c>
    </row>
    <row r="32" customFormat="false" ht="15" hidden="false" customHeight="false" outlineLevel="0" collapsed="false">
      <c r="B32" s="11" t="s">
        <v>83</v>
      </c>
      <c r="C32" s="17" t="n">
        <v>0</v>
      </c>
      <c r="D32" s="17" t="n">
        <v>0</v>
      </c>
      <c r="E32" s="17" t="n">
        <v>0</v>
      </c>
    </row>
    <row r="33" customFormat="false" ht="15" hidden="false" customHeight="false" outlineLevel="0" collapsed="false">
      <c r="B33" s="11" t="s">
        <v>84</v>
      </c>
      <c r="C33" s="17" t="n">
        <v>0</v>
      </c>
      <c r="D33" s="17" t="n">
        <v>0</v>
      </c>
      <c r="E33" s="17" t="n">
        <v>0</v>
      </c>
    </row>
    <row r="34" customFormat="false" ht="15" hidden="false" customHeight="false" outlineLevel="0" collapsed="false">
      <c r="B34" s="11" t="s">
        <v>85</v>
      </c>
      <c r="C34" s="17" t="n">
        <v>0</v>
      </c>
      <c r="D34" s="17" t="n">
        <v>0</v>
      </c>
      <c r="E34" s="17" t="n">
        <v>0</v>
      </c>
    </row>
    <row r="35" customFormat="false" ht="15" hidden="false" customHeight="false" outlineLevel="0" collapsed="false">
      <c r="B35" s="11" t="s">
        <v>86</v>
      </c>
      <c r="C35" s="17" t="n">
        <v>0</v>
      </c>
      <c r="D35" s="17" t="n">
        <v>0</v>
      </c>
      <c r="E35" s="17" t="n">
        <v>0</v>
      </c>
    </row>
    <row r="36" customFormat="false" ht="15" hidden="false" customHeight="false" outlineLevel="0" collapsed="false">
      <c r="B36" s="11" t="s">
        <v>87</v>
      </c>
      <c r="C36" s="17" t="n">
        <v>0</v>
      </c>
      <c r="D36" s="17" t="n">
        <v>0</v>
      </c>
      <c r="E36" s="17" t="n">
        <v>0</v>
      </c>
    </row>
    <row r="37" customFormat="false" ht="15" hidden="false" customHeight="false" outlineLevel="0" collapsed="false">
      <c r="B37" s="4" t="s">
        <v>88</v>
      </c>
      <c r="C37" s="22" t="n">
        <f aca="false">C29+C30+C31+C32+C33+C34+C35+C36</f>
        <v>0</v>
      </c>
      <c r="D37" s="22" t="n">
        <f aca="false">D29+D30+D31+D32+D33+D34+D35+D36</f>
        <v>0</v>
      </c>
      <c r="E37" s="22" t="n">
        <f aca="false">E29+E30+E31+E32+E33+E34+E35+E36</f>
        <v>0</v>
      </c>
    </row>
    <row r="39" customFormat="false" ht="15" hidden="false" customHeight="false" outlineLevel="0" collapsed="false">
      <c r="B39" s="11" t="s">
        <v>89</v>
      </c>
      <c r="C39" s="17" t="n">
        <v>0</v>
      </c>
      <c r="D39" s="17" t="n">
        <v>0</v>
      </c>
      <c r="E39" s="17" t="n">
        <v>0</v>
      </c>
    </row>
    <row r="41" customFormat="false" ht="15" hidden="false" customHeight="false" outlineLevel="0" collapsed="false">
      <c r="B41" s="4" t="s">
        <v>11</v>
      </c>
      <c r="C41" s="22" t="n">
        <f aca="false">C27+C37+C39</f>
        <v>0</v>
      </c>
      <c r="D41" s="22" t="n">
        <f aca="false">D27+D37+D39</f>
        <v>0</v>
      </c>
      <c r="E41" s="22" t="n">
        <f aca="false">E27+E37+E39</f>
        <v>0</v>
      </c>
    </row>
    <row r="43" customFormat="false" ht="15" hidden="false" customHeight="false" outlineLevel="0" collapsed="false">
      <c r="B43" s="4" t="s">
        <v>90</v>
      </c>
      <c r="C43" s="23" t="n">
        <f aca="false">C20-C41</f>
        <v>0</v>
      </c>
      <c r="D43" s="23" t="n">
        <f aca="false">D20-D41</f>
        <v>0</v>
      </c>
      <c r="E43" s="23" t="n">
        <f aca="false">E20-E41</f>
        <v>0</v>
      </c>
    </row>
    <row r="45" customFormat="false" ht="18" hidden="false" customHeight="true" outlineLevel="0" collapsed="false">
      <c r="B45" s="3" t="s">
        <v>91</v>
      </c>
      <c r="C45" s="3"/>
      <c r="D45" s="3"/>
      <c r="E45" s="3"/>
    </row>
    <row r="46" customFormat="false" ht="15" hidden="false" customHeight="false" outlineLevel="0" collapsed="false">
      <c r="B46" s="11" t="s">
        <v>92</v>
      </c>
      <c r="C46" s="24" t="n">
        <f aca="false">C16-(C32+C33+C34+C35+C36)+C18-C39</f>
        <v>0</v>
      </c>
      <c r="D46" s="24" t="n">
        <f aca="false">D16-(D32+D33+D34+D35+D36)+D18-D39</f>
        <v>0</v>
      </c>
      <c r="E46" s="24" t="n">
        <f aca="false">E16-(E32+E33+E34+E35+E36)+E18-E39</f>
        <v>0</v>
      </c>
    </row>
    <row r="47" customFormat="false" ht="15" hidden="false" customHeight="false" outlineLevel="0" collapsed="false">
      <c r="B47" s="11" t="s">
        <v>93</v>
      </c>
      <c r="C47" s="5" t="str">
        <f aca="false">IF(C27&lt;0,"SI - PN NEGATIVO","no")</f>
        <v>no</v>
      </c>
      <c r="D47" s="5" t="str">
        <f aca="false">IF(D27&lt;0,"SI - PN NEGATIVO","no")</f>
        <v>no</v>
      </c>
      <c r="E47" s="5" t="str">
        <f aca="false">IF(E27&lt;0,"SI - PN NEGATIVO","no")</f>
        <v>no</v>
      </c>
    </row>
    <row r="49" customFormat="false" ht="32.8" hidden="false" customHeight="true" outlineLevel="0" collapsed="false">
      <c r="B49" s="15" t="s">
        <v>94</v>
      </c>
      <c r="C49" s="15"/>
      <c r="D49" s="15"/>
      <c r="E49" s="15"/>
    </row>
  </sheetData>
  <mergeCells count="7">
    <mergeCell ref="B2:E2"/>
    <mergeCell ref="B3:E3"/>
    <mergeCell ref="B4:E4"/>
    <mergeCell ref="B6:E6"/>
    <mergeCell ref="B22:E22"/>
    <mergeCell ref="B45:E45"/>
    <mergeCell ref="B49:E49"/>
  </mergeCells>
  <conditionalFormatting sqref="C43">
    <cfRule type="cellIs" priority="2" operator="notEqual" aboveAverage="0" equalAverage="0" bottom="0" percent="0" rank="0" text="" dxfId="0">
      <formula>0</formula>
    </cfRule>
    <cfRule type="cellIs" priority="3" operator="equal" aboveAverage="0" equalAverage="0" bottom="0" percent="0" rank="0" text="" dxfId="1">
      <formula>0</formula>
    </cfRule>
  </conditionalFormatting>
  <conditionalFormatting sqref="D43">
    <cfRule type="cellIs" priority="4" operator="notEqual" aboveAverage="0" equalAverage="0" bottom="0" percent="0" rank="0" text="" dxfId="0">
      <formula>0</formula>
    </cfRule>
    <cfRule type="cellIs" priority="5" operator="equal" aboveAverage="0" equalAverage="0" bottom="0" percent="0" rank="0" text="" dxfId="1">
      <formula>0</formula>
    </cfRule>
  </conditionalFormatting>
  <conditionalFormatting sqref="E43">
    <cfRule type="cellIs" priority="6" operator="notEqual" aboveAverage="0" equalAverage="0" bottom="0" percent="0" rank="0" text="" dxfId="0">
      <formula>0</formula>
    </cfRule>
    <cfRule type="cellIs" priority="7" operator="equal" aboveAverage="0" equalAverage="0" bottom="0" percent="0" rank="0" text="" dxfId="1">
      <formula>0</formula>
    </cfRule>
  </conditionalFormatting>
  <conditionalFormatting sqref="C47">
    <cfRule type="expression" priority="8" aboveAverage="0" equalAverage="0" bottom="0" percent="0" rank="0" text="" dxfId="0">
      <formula>C47&lt;&gt;"no"</formula>
    </cfRule>
  </conditionalFormatting>
  <conditionalFormatting sqref="D47">
    <cfRule type="expression" priority="9" aboveAverage="0" equalAverage="0" bottom="0" percent="0" rank="0" text="" dxfId="0">
      <formula>D47&lt;&gt;"no"</formula>
    </cfRule>
  </conditionalFormatting>
  <conditionalFormatting sqref="E47">
    <cfRule type="expression" priority="10" aboveAverage="0" equalAverage="0" bottom="0" percent="0" rank="0" text="" dxfId="0">
      <formula>E47&lt;&gt;"no"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5" min="3" style="0" width="14"/>
    <col collapsed="false" customWidth="true" hidden="false" outlineLevel="0" max="6" min="6" style="0" width="3"/>
  </cols>
  <sheetData>
    <row r="2" customFormat="false" ht="25.5" hidden="false" customHeight="true" outlineLevel="0" collapsed="false">
      <c r="B2" s="1" t="s">
        <v>95</v>
      </c>
      <c r="C2" s="1"/>
      <c r="D2" s="1"/>
      <c r="E2" s="1"/>
    </row>
    <row r="3" customFormat="false" ht="15.75" hidden="false" customHeight="true" outlineLevel="0" collapsed="false">
      <c r="B3" s="2" t="s">
        <v>58</v>
      </c>
      <c r="C3" s="2"/>
      <c r="D3" s="2"/>
      <c r="E3" s="2"/>
    </row>
    <row r="5" customFormat="false" ht="30" hidden="false" customHeight="true" outlineLevel="0" collapsed="false">
      <c r="B5" s="21" t="s">
        <v>59</v>
      </c>
      <c r="C5" s="21" t="s">
        <v>60</v>
      </c>
      <c r="D5" s="21" t="s">
        <v>61</v>
      </c>
      <c r="E5" s="21" t="s">
        <v>62</v>
      </c>
    </row>
    <row r="6" customFormat="false" ht="15" hidden="false" customHeight="false" outlineLevel="0" collapsed="false">
      <c r="B6" s="11" t="s">
        <v>96</v>
      </c>
      <c r="C6" s="17" t="n">
        <v>0</v>
      </c>
      <c r="D6" s="17" t="n">
        <v>0</v>
      </c>
      <c r="E6" s="17" t="n">
        <v>0</v>
      </c>
    </row>
    <row r="7" customFormat="false" ht="15" hidden="false" customHeight="false" outlineLevel="0" collapsed="false">
      <c r="B7" s="11" t="s">
        <v>97</v>
      </c>
      <c r="C7" s="17" t="n">
        <v>0</v>
      </c>
      <c r="D7" s="17" t="n">
        <v>0</v>
      </c>
      <c r="E7" s="17" t="n">
        <v>0</v>
      </c>
    </row>
    <row r="8" customFormat="false" ht="15" hidden="false" customHeight="false" outlineLevel="0" collapsed="false">
      <c r="B8" s="11" t="s">
        <v>98</v>
      </c>
      <c r="C8" s="17" t="n">
        <v>0</v>
      </c>
      <c r="D8" s="17" t="n">
        <v>0</v>
      </c>
      <c r="E8" s="17" t="n">
        <v>0</v>
      </c>
    </row>
    <row r="9" customFormat="false" ht="15" hidden="false" customHeight="false" outlineLevel="0" collapsed="false">
      <c r="B9" s="4" t="s">
        <v>99</v>
      </c>
      <c r="C9" s="22" t="n">
        <f aca="false">C6+C7+C8</f>
        <v>0</v>
      </c>
      <c r="D9" s="22" t="n">
        <f aca="false">D6+D7+D8</f>
        <v>0</v>
      </c>
      <c r="E9" s="22" t="n">
        <f aca="false">E6+E7+E8</f>
        <v>0</v>
      </c>
    </row>
    <row r="11" customFormat="false" ht="15" hidden="false" customHeight="false" outlineLevel="0" collapsed="false">
      <c r="B11" s="11" t="s">
        <v>100</v>
      </c>
      <c r="C11" s="17" t="n">
        <v>0</v>
      </c>
      <c r="D11" s="17" t="n">
        <v>0</v>
      </c>
      <c r="E11" s="17" t="n">
        <v>0</v>
      </c>
    </row>
    <row r="12" customFormat="false" ht="15" hidden="false" customHeight="false" outlineLevel="0" collapsed="false">
      <c r="B12" s="11" t="s">
        <v>101</v>
      </c>
      <c r="C12" s="17" t="n">
        <v>0</v>
      </c>
      <c r="D12" s="17" t="n">
        <v>0</v>
      </c>
      <c r="E12" s="17" t="n">
        <v>0</v>
      </c>
    </row>
    <row r="13" customFormat="false" ht="15" hidden="false" customHeight="false" outlineLevel="0" collapsed="false">
      <c r="B13" s="11" t="s">
        <v>102</v>
      </c>
      <c r="C13" s="17" t="n">
        <v>0</v>
      </c>
      <c r="D13" s="17" t="n">
        <v>0</v>
      </c>
      <c r="E13" s="17" t="n">
        <v>0</v>
      </c>
    </row>
    <row r="14" customFormat="false" ht="15" hidden="false" customHeight="false" outlineLevel="0" collapsed="false">
      <c r="B14" s="11" t="s">
        <v>103</v>
      </c>
      <c r="C14" s="17" t="n">
        <v>0</v>
      </c>
      <c r="D14" s="17" t="n">
        <v>0</v>
      </c>
      <c r="E14" s="17" t="n">
        <v>0</v>
      </c>
    </row>
    <row r="15" customFormat="false" ht="15" hidden="false" customHeight="false" outlineLevel="0" collapsed="false">
      <c r="B15" s="4" t="s">
        <v>104</v>
      </c>
      <c r="C15" s="22" t="n">
        <f aca="false">C9-C11-C12-C13-C14</f>
        <v>0</v>
      </c>
      <c r="D15" s="22" t="n">
        <f aca="false">D9-D11-D12-D13-D14</f>
        <v>0</v>
      </c>
      <c r="E15" s="22" t="n">
        <f aca="false">E9-E11-E12-E13-E14</f>
        <v>0</v>
      </c>
    </row>
    <row r="17" customFormat="false" ht="15" hidden="false" customHeight="false" outlineLevel="0" collapsed="false">
      <c r="B17" s="11" t="s">
        <v>105</v>
      </c>
      <c r="C17" s="17" t="n">
        <v>0</v>
      </c>
      <c r="D17" s="17" t="n">
        <v>0</v>
      </c>
      <c r="E17" s="17" t="n">
        <v>0</v>
      </c>
    </row>
    <row r="18" customFormat="false" ht="15" hidden="false" customHeight="false" outlineLevel="0" collapsed="false">
      <c r="B18" s="4" t="s">
        <v>106</v>
      </c>
      <c r="C18" s="22" t="n">
        <f aca="false">C15-C17</f>
        <v>0</v>
      </c>
      <c r="D18" s="22" t="n">
        <f aca="false">D15-D17</f>
        <v>0</v>
      </c>
      <c r="E18" s="22" t="n">
        <f aca="false">E15-E17</f>
        <v>0</v>
      </c>
    </row>
    <row r="20" customFormat="false" ht="15" hidden="false" customHeight="false" outlineLevel="0" collapsed="false">
      <c r="B20" s="11" t="s">
        <v>107</v>
      </c>
      <c r="C20" s="17" t="n">
        <v>0</v>
      </c>
      <c r="D20" s="17" t="n">
        <v>0</v>
      </c>
      <c r="E20" s="17" t="n">
        <v>0</v>
      </c>
    </row>
    <row r="21" customFormat="false" ht="15" hidden="false" customHeight="false" outlineLevel="0" collapsed="false">
      <c r="B21" s="11" t="s">
        <v>108</v>
      </c>
      <c r="C21" s="17" t="n">
        <v>0</v>
      </c>
      <c r="D21" s="17" t="n">
        <v>0</v>
      </c>
      <c r="E21" s="17" t="n">
        <v>0</v>
      </c>
    </row>
    <row r="22" customFormat="false" ht="15" hidden="false" customHeight="false" outlineLevel="0" collapsed="false">
      <c r="B22" s="4" t="s">
        <v>109</v>
      </c>
      <c r="C22" s="22" t="n">
        <f aca="false">C18-C20-C21</f>
        <v>0</v>
      </c>
      <c r="D22" s="22" t="n">
        <f aca="false">D18-D20-D21</f>
        <v>0</v>
      </c>
      <c r="E22" s="22" t="n">
        <f aca="false">E18-E20-E21</f>
        <v>0</v>
      </c>
    </row>
    <row r="24" customFormat="false" ht="15" hidden="false" customHeight="false" outlineLevel="0" collapsed="false">
      <c r="B24" s="11" t="s">
        <v>110</v>
      </c>
      <c r="C24" s="17" t="n">
        <v>0</v>
      </c>
      <c r="D24" s="17" t="n">
        <v>0</v>
      </c>
      <c r="E24" s="17" t="n">
        <v>0</v>
      </c>
    </row>
    <row r="25" customFormat="false" ht="15" hidden="false" customHeight="false" outlineLevel="0" collapsed="false">
      <c r="B25" s="11" t="s">
        <v>111</v>
      </c>
      <c r="C25" s="17" t="n">
        <v>0</v>
      </c>
      <c r="D25" s="17" t="n">
        <v>0</v>
      </c>
      <c r="E25" s="17" t="n">
        <v>0</v>
      </c>
    </row>
    <row r="26" customFormat="false" ht="15" hidden="false" customHeight="false" outlineLevel="0" collapsed="false">
      <c r="B26" s="11" t="s">
        <v>112</v>
      </c>
      <c r="C26" s="17" t="n">
        <v>0</v>
      </c>
      <c r="D26" s="17" t="n">
        <v>0</v>
      </c>
      <c r="E26" s="17" t="n">
        <v>0</v>
      </c>
    </row>
    <row r="27" customFormat="false" ht="15" hidden="false" customHeight="false" outlineLevel="0" collapsed="false">
      <c r="B27" s="4" t="s">
        <v>113</v>
      </c>
      <c r="C27" s="22" t="n">
        <f aca="false">C22+C24-C25+C26</f>
        <v>0</v>
      </c>
      <c r="D27" s="22" t="n">
        <f aca="false">D22+D24-D25+D26</f>
        <v>0</v>
      </c>
      <c r="E27" s="22" t="n">
        <f aca="false">E22+E24-E25+E26</f>
        <v>0</v>
      </c>
    </row>
    <row r="29" customFormat="false" ht="15" hidden="false" customHeight="false" outlineLevel="0" collapsed="false">
      <c r="B29" s="11" t="s">
        <v>114</v>
      </c>
      <c r="C29" s="17" t="n">
        <v>0</v>
      </c>
      <c r="D29" s="17" t="n">
        <v>0</v>
      </c>
      <c r="E29" s="17" t="n">
        <v>0</v>
      </c>
    </row>
    <row r="30" customFormat="false" ht="15" hidden="false" customHeight="false" outlineLevel="0" collapsed="false">
      <c r="B30" s="4" t="s">
        <v>115</v>
      </c>
      <c r="C30" s="22" t="n">
        <f aca="false">C27-C29</f>
        <v>0</v>
      </c>
      <c r="D30" s="22" t="n">
        <f aca="false">D27-D29</f>
        <v>0</v>
      </c>
      <c r="E30" s="22" t="n">
        <f aca="false">E27-E29</f>
        <v>0</v>
      </c>
    </row>
    <row r="32" customFormat="false" ht="18" hidden="false" customHeight="true" outlineLevel="0" collapsed="false">
      <c r="B32" s="3" t="s">
        <v>116</v>
      </c>
      <c r="C32" s="3"/>
      <c r="D32" s="3"/>
      <c r="E32" s="3"/>
    </row>
    <row r="33" customFormat="false" ht="15" hidden="false" customHeight="false" outlineLevel="0" collapsed="false">
      <c r="B33" s="11" t="s">
        <v>117</v>
      </c>
      <c r="C33" s="25" t="str">
        <f aca="false">IFERROR(C18/C6,"n.d.")</f>
        <v>n.d.</v>
      </c>
      <c r="D33" s="25" t="str">
        <f aca="false">IFERROR(D18/D6,"n.d.")</f>
        <v>n.d.</v>
      </c>
      <c r="E33" s="25" t="str">
        <f aca="false">IFERROR(E18/E6,"n.d.")</f>
        <v>n.d.</v>
      </c>
    </row>
    <row r="34" customFormat="false" ht="15" hidden="false" customHeight="false" outlineLevel="0" collapsed="false">
      <c r="B34" s="11" t="s">
        <v>118</v>
      </c>
      <c r="C34" s="25" t="str">
        <f aca="false">IFERROR(C22/C6,"n.d.")</f>
        <v>n.d.</v>
      </c>
      <c r="D34" s="25" t="str">
        <f aca="false">IFERROR(D22/D6,"n.d.")</f>
        <v>n.d.</v>
      </c>
      <c r="E34" s="25" t="str">
        <f aca="false">IFERROR(E22/E6,"n.d.")</f>
        <v>n.d.</v>
      </c>
    </row>
    <row r="35" customFormat="false" ht="15" hidden="false" customHeight="false" outlineLevel="0" collapsed="false">
      <c r="B35" s="11" t="s">
        <v>119</v>
      </c>
      <c r="C35" s="25" t="str">
        <f aca="false">IFERROR(C17/C15,"n.d.")</f>
        <v>n.d.</v>
      </c>
      <c r="D35" s="25" t="str">
        <f aca="false">IFERROR(D17/D15,"n.d.")</f>
        <v>n.d.</v>
      </c>
      <c r="E35" s="25" t="str">
        <f aca="false">IFERROR(E17/E15,"n.d.")</f>
        <v>n.d.</v>
      </c>
    </row>
    <row r="37" customFormat="false" ht="32.8" hidden="false" customHeight="true" outlineLevel="0" collapsed="false">
      <c r="B37" s="15" t="s">
        <v>120</v>
      </c>
      <c r="C37" s="15"/>
      <c r="D37" s="15"/>
      <c r="E37" s="15"/>
    </row>
  </sheetData>
  <mergeCells count="4">
    <mergeCell ref="B2:E2"/>
    <mergeCell ref="B3:E3"/>
    <mergeCell ref="B32:E32"/>
    <mergeCell ref="B37:E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5" min="3" style="0" width="14"/>
    <col collapsed="false" customWidth="true" hidden="false" outlineLevel="0" max="6" min="6" style="0" width="3"/>
  </cols>
  <sheetData>
    <row r="2" customFormat="false" ht="25.5" hidden="false" customHeight="true" outlineLevel="0" collapsed="false">
      <c r="B2" s="1" t="s">
        <v>121</v>
      </c>
      <c r="C2" s="1"/>
      <c r="D2" s="1"/>
      <c r="E2" s="1"/>
    </row>
    <row r="3" customFormat="false" ht="15.75" hidden="false" customHeight="true" outlineLevel="0" collapsed="false">
      <c r="B3" s="2" t="s">
        <v>122</v>
      </c>
      <c r="C3" s="2"/>
      <c r="D3" s="2"/>
      <c r="E3" s="2"/>
    </row>
    <row r="5" customFormat="false" ht="30" hidden="false" customHeight="true" outlineLevel="0" collapsed="false">
      <c r="B5" s="21" t="s">
        <v>123</v>
      </c>
      <c r="C5" s="21" t="s">
        <v>60</v>
      </c>
      <c r="D5" s="21" t="s">
        <v>61</v>
      </c>
      <c r="E5" s="21" t="s">
        <v>62</v>
      </c>
    </row>
    <row r="6" customFormat="false" ht="18" hidden="false" customHeight="true" outlineLevel="0" collapsed="false">
      <c r="B6" s="3" t="s">
        <v>124</v>
      </c>
      <c r="C6" s="3"/>
      <c r="D6" s="3"/>
      <c r="E6" s="3"/>
    </row>
    <row r="7" customFormat="false" ht="15" hidden="false" customHeight="false" outlineLevel="0" collapsed="false">
      <c r="B7" s="4" t="s">
        <v>125</v>
      </c>
      <c r="C7" s="12" t="n">
        <f aca="false">bilancio_sp!C46</f>
        <v>0</v>
      </c>
      <c r="D7" s="12" t="n">
        <f aca="false">bilancio_sp!D46</f>
        <v>0</v>
      </c>
      <c r="E7" s="12" t="n">
        <f aca="false">bilancio_sp!E46</f>
        <v>0</v>
      </c>
    </row>
    <row r="8" customFormat="false" ht="15" hidden="false" customHeight="false" outlineLevel="0" collapsed="false">
      <c r="B8" s="4" t="s">
        <v>126</v>
      </c>
      <c r="C8" s="26" t="str">
        <f aca="false">IFERROR(bilancio_sp!C16/(bilancio_sp!C32+bilancio_sp!C33+bilancio_sp!C34+bilancio_sp!C35+bilancio_sp!C36),"n.d.")</f>
        <v>n.d.</v>
      </c>
      <c r="D8" s="26" t="str">
        <f aca="false">IFERROR(bilancio_sp!D16/(bilancio_sp!D32+bilancio_sp!D33+bilancio_sp!D34+bilancio_sp!D35+bilancio_sp!D36),"n.d.")</f>
        <v>n.d.</v>
      </c>
      <c r="E8" s="26" t="str">
        <f aca="false">IFERROR(bilancio_sp!E16/(bilancio_sp!E32+bilancio_sp!E33+bilancio_sp!E34+bilancio_sp!E35+bilancio_sp!E36),"n.d.")</f>
        <v>n.d.</v>
      </c>
    </row>
    <row r="9" customFormat="false" ht="15" hidden="false" customHeight="false" outlineLevel="0" collapsed="false">
      <c r="B9" s="4" t="s">
        <v>127</v>
      </c>
      <c r="C9" s="26" t="str">
        <f aca="false">IFERROR((bilancio_sp!C16-bilancio_sp!C12)/(bilancio_sp!C32+bilancio_sp!C33+bilancio_sp!C34+bilancio_sp!C35+bilancio_sp!C36),"n.d.")</f>
        <v>n.d.</v>
      </c>
      <c r="D9" s="26" t="str">
        <f aca="false">IFERROR((bilancio_sp!D16-bilancio_sp!D12)/(bilancio_sp!D32+bilancio_sp!D33+bilancio_sp!D34+bilancio_sp!D35+bilancio_sp!D36),"n.d.")</f>
        <v>n.d.</v>
      </c>
      <c r="E9" s="26" t="str">
        <f aca="false">IFERROR((bilancio_sp!E16-bilancio_sp!E12)/(bilancio_sp!E32+bilancio_sp!E33+bilancio_sp!E34+bilancio_sp!E35+bilancio_sp!E36),"n.d.")</f>
        <v>n.d.</v>
      </c>
    </row>
    <row r="11" customFormat="false" ht="18" hidden="false" customHeight="true" outlineLevel="0" collapsed="false">
      <c r="B11" s="3" t="s">
        <v>128</v>
      </c>
      <c r="C11" s="3"/>
      <c r="D11" s="3"/>
      <c r="E11" s="3"/>
    </row>
    <row r="12" customFormat="false" ht="15" hidden="false" customHeight="false" outlineLevel="0" collapsed="false">
      <c r="B12" s="4" t="s">
        <v>129</v>
      </c>
      <c r="C12" s="26" t="str">
        <f aca="false">IFERROR(bilancio_sp!C41/bilancio_sp!C27,"n.d.")</f>
        <v>n.d.</v>
      </c>
      <c r="D12" s="26" t="str">
        <f aca="false">IFERROR(bilancio_sp!D41/bilancio_sp!D27,"n.d.")</f>
        <v>n.d.</v>
      </c>
      <c r="E12" s="26" t="str">
        <f aca="false">IFERROR(bilancio_sp!E41/bilancio_sp!E27,"n.d.")</f>
        <v>n.d.</v>
      </c>
    </row>
    <row r="13" customFormat="false" ht="15" hidden="false" customHeight="false" outlineLevel="0" collapsed="false">
      <c r="B13" s="4" t="s">
        <v>130</v>
      </c>
      <c r="C13" s="25" t="str">
        <f aca="false">IFERROR(bilancio_sp!C27/bilancio_sp!C20,"n.d.")</f>
        <v>n.d.</v>
      </c>
      <c r="D13" s="25" t="str">
        <f aca="false">IFERROR(bilancio_sp!D27/bilancio_sp!D20,"n.d.")</f>
        <v>n.d.</v>
      </c>
      <c r="E13" s="25" t="str">
        <f aca="false">IFERROR(bilancio_sp!E27/bilancio_sp!E20,"n.d.")</f>
        <v>n.d.</v>
      </c>
    </row>
    <row r="14" customFormat="false" ht="15" hidden="false" customHeight="false" outlineLevel="0" collapsed="false">
      <c r="B14" s="4" t="s">
        <v>131</v>
      </c>
      <c r="C14" s="26" t="str">
        <f aca="false">IFERROR(bilancio_sp!C27/bilancio_sp!C10,"n.d.")</f>
        <v>n.d.</v>
      </c>
      <c r="D14" s="26" t="str">
        <f aca="false">IFERROR(bilancio_sp!D27/bilancio_sp!D10,"n.d.")</f>
        <v>n.d.</v>
      </c>
      <c r="E14" s="26" t="str">
        <f aca="false">IFERROR(bilancio_sp!E27/bilancio_sp!E10,"n.d.")</f>
        <v>n.d.</v>
      </c>
    </row>
    <row r="15" customFormat="false" ht="15" hidden="false" customHeight="false" outlineLevel="0" collapsed="false">
      <c r="B15" s="4" t="s">
        <v>132</v>
      </c>
      <c r="C15" s="26" t="str">
        <f aca="false">IFERROR((bilancio_sp!C31+bilancio_sp!C32)/bilancio_ce!C18,"n.d.")</f>
        <v>n.d.</v>
      </c>
      <c r="D15" s="26" t="str">
        <f aca="false">IFERROR((bilancio_sp!D31+bilancio_sp!D32)/bilancio_ce!D18,"n.d.")</f>
        <v>n.d.</v>
      </c>
      <c r="E15" s="26" t="str">
        <f aca="false">IFERROR((bilancio_sp!E31+bilancio_sp!E32)/bilancio_ce!E18,"n.d.")</f>
        <v>n.d.</v>
      </c>
    </row>
    <row r="17" customFormat="false" ht="18" hidden="false" customHeight="true" outlineLevel="0" collapsed="false">
      <c r="B17" s="3" t="s">
        <v>133</v>
      </c>
      <c r="C17" s="3"/>
      <c r="D17" s="3"/>
      <c r="E17" s="3"/>
    </row>
    <row r="18" customFormat="false" ht="15" hidden="false" customHeight="false" outlineLevel="0" collapsed="false">
      <c r="B18" s="4" t="s">
        <v>134</v>
      </c>
      <c r="C18" s="25" t="str">
        <f aca="false">IFERROR(bilancio_ce!C30/bilancio_sp!C27,"n.d.")</f>
        <v>n.d.</v>
      </c>
      <c r="D18" s="25" t="str">
        <f aca="false">IFERROR(bilancio_ce!D30/bilancio_sp!D27,"n.d.")</f>
        <v>n.d.</v>
      </c>
      <c r="E18" s="25" t="str">
        <f aca="false">IFERROR(bilancio_ce!E30/bilancio_sp!E27,"n.d.")</f>
        <v>n.d.</v>
      </c>
    </row>
    <row r="19" customFormat="false" ht="15" hidden="false" customHeight="false" outlineLevel="0" collapsed="false">
      <c r="B19" s="4" t="s">
        <v>135</v>
      </c>
      <c r="C19" s="25" t="str">
        <f aca="false">IFERROR(bilancio_ce!C22/bilancio_sp!C20,"n.d.")</f>
        <v>n.d.</v>
      </c>
      <c r="D19" s="25" t="str">
        <f aca="false">IFERROR(bilancio_ce!D22/bilancio_sp!D20,"n.d.")</f>
        <v>n.d.</v>
      </c>
      <c r="E19" s="25" t="str">
        <f aca="false">IFERROR(bilancio_ce!E22/bilancio_sp!E20,"n.d.")</f>
        <v>n.d.</v>
      </c>
    </row>
    <row r="20" customFormat="false" ht="15" hidden="false" customHeight="false" outlineLevel="0" collapsed="false">
      <c r="B20" s="4" t="s">
        <v>136</v>
      </c>
      <c r="C20" s="25" t="str">
        <f aca="false">IFERROR(bilancio_ce!C22/bilancio_ce!C6,"n.d.")</f>
        <v>n.d.</v>
      </c>
      <c r="D20" s="25" t="str">
        <f aca="false">IFERROR(bilancio_ce!D22/bilancio_ce!D6,"n.d.")</f>
        <v>n.d.</v>
      </c>
      <c r="E20" s="25" t="str">
        <f aca="false">IFERROR(bilancio_ce!E22/bilancio_ce!E6,"n.d.")</f>
        <v>n.d.</v>
      </c>
    </row>
    <row r="21" customFormat="false" ht="15" hidden="false" customHeight="false" outlineLevel="0" collapsed="false">
      <c r="B21" s="4" t="s">
        <v>137</v>
      </c>
      <c r="C21" s="25" t="str">
        <f aca="false">IFERROR(bilancio_ce!C30/bilancio_sp!C20,"n.d.")</f>
        <v>n.d.</v>
      </c>
      <c r="D21" s="25" t="str">
        <f aca="false">IFERROR(bilancio_ce!D30/bilancio_sp!D20,"n.d.")</f>
        <v>n.d.</v>
      </c>
      <c r="E21" s="25" t="str">
        <f aca="false">IFERROR(bilancio_ce!E30/bilancio_sp!E20,"n.d.")</f>
        <v>n.d.</v>
      </c>
    </row>
    <row r="23" customFormat="false" ht="18" hidden="false" customHeight="true" outlineLevel="0" collapsed="false">
      <c r="B23" s="3" t="s">
        <v>138</v>
      </c>
      <c r="C23" s="3"/>
      <c r="D23" s="3"/>
      <c r="E23" s="3"/>
    </row>
    <row r="24" customFormat="false" ht="15" hidden="false" customHeight="false" outlineLevel="0" collapsed="false">
      <c r="B24" s="4" t="s">
        <v>139</v>
      </c>
      <c r="C24" s="27" t="str">
        <f aca="false">IFERROR(bilancio_sp!C13/bilancio_ce!C6*365,"n.d.")</f>
        <v>n.d.</v>
      </c>
      <c r="D24" s="27" t="str">
        <f aca="false">IFERROR(bilancio_sp!D13/bilancio_ce!D6*365,"n.d.")</f>
        <v>n.d.</v>
      </c>
      <c r="E24" s="27" t="str">
        <f aca="false">IFERROR(bilancio_sp!E13/bilancio_ce!E6*365,"n.d.")</f>
        <v>n.d.</v>
      </c>
    </row>
    <row r="25" customFormat="false" ht="15" hidden="false" customHeight="false" outlineLevel="0" collapsed="false">
      <c r="B25" s="4" t="s">
        <v>140</v>
      </c>
      <c r="C25" s="27" t="str">
        <f aca="false">IFERROR(bilancio_sp!C33/(bilancio_ce!C11+bilancio_ce!C12)*365,"n.d.")</f>
        <v>n.d.</v>
      </c>
      <c r="D25" s="27" t="str">
        <f aca="false">IFERROR(bilancio_sp!D33/(bilancio_ce!D11+bilancio_ce!D12)*365,"n.d.")</f>
        <v>n.d.</v>
      </c>
      <c r="E25" s="27" t="str">
        <f aca="false">IFERROR(bilancio_sp!E33/(bilancio_ce!E11+bilancio_ce!E12)*365,"n.d.")</f>
        <v>n.d.</v>
      </c>
    </row>
    <row r="26" customFormat="false" ht="15" hidden="false" customHeight="false" outlineLevel="0" collapsed="false">
      <c r="B26" s="4" t="s">
        <v>141</v>
      </c>
      <c r="C26" s="27" t="str">
        <f aca="false">IFERROR(bilancio_sp!C12/(bilancio_ce!C11+bilancio_ce!C12)*365,"n.d.")</f>
        <v>n.d.</v>
      </c>
      <c r="D26" s="27" t="str">
        <f aca="false">IFERROR(bilancio_sp!D12/(bilancio_ce!D11+bilancio_ce!D12)*365,"n.d.")</f>
        <v>n.d.</v>
      </c>
      <c r="E26" s="27" t="str">
        <f aca="false">IFERROR(bilancio_sp!E12/(bilancio_ce!E11+bilancio_ce!E12)*365,"n.d.")</f>
        <v>n.d.</v>
      </c>
    </row>
    <row r="27" customFormat="false" ht="15" hidden="false" customHeight="false" outlineLevel="0" collapsed="false">
      <c r="B27" s="4" t="s">
        <v>142</v>
      </c>
      <c r="C27" s="28" t="str">
        <f aca="false">IFERROR(C24+C26-C25,"n.d.")</f>
        <v>n.d.</v>
      </c>
      <c r="D27" s="28" t="str">
        <f aca="false">IFERROR(D24+D26-D25,"n.d.")</f>
        <v>n.d.</v>
      </c>
      <c r="E27" s="28" t="str">
        <f aca="false">IFERROR(E24+E26-E25,"n.d.")</f>
        <v>n.d.</v>
      </c>
    </row>
    <row r="29" customFormat="false" ht="22.35" hidden="false" customHeight="true" outlineLevel="0" collapsed="false">
      <c r="B29" s="15" t="s">
        <v>143</v>
      </c>
      <c r="C29" s="15"/>
      <c r="D29" s="15"/>
      <c r="E29" s="15"/>
    </row>
  </sheetData>
  <mergeCells count="7">
    <mergeCell ref="B2:E2"/>
    <mergeCell ref="B3:E3"/>
    <mergeCell ref="B6:E6"/>
    <mergeCell ref="B11:E11"/>
    <mergeCell ref="B17:E17"/>
    <mergeCell ref="B23:E23"/>
    <mergeCell ref="B29:E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3"/>
    <col collapsed="false" customWidth="true" hidden="false" outlineLevel="0" max="15" min="4" style="0" width="12"/>
  </cols>
  <sheetData>
    <row r="2" customFormat="false" ht="25.5" hidden="false" customHeight="true" outlineLevel="0" collapsed="false">
      <c r="B2" s="1" t="s">
        <v>144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customFormat="false" ht="15.75" hidden="false" customHeight="true" outlineLevel="0" collapsed="false">
      <c r="B3" s="2" t="s">
        <v>145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" hidden="false" customHeight="false" outlineLevel="0" collapsed="false">
      <c r="B4" s="20" t="s">
        <v>146</v>
      </c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</row>
    <row r="5" customFormat="false" ht="30" hidden="false" customHeight="true" outlineLevel="0" collapsed="false">
      <c r="B5" s="21" t="s">
        <v>59</v>
      </c>
      <c r="D5" s="21" t="s">
        <v>147</v>
      </c>
      <c r="E5" s="21" t="s">
        <v>148</v>
      </c>
      <c r="F5" s="21" t="s">
        <v>149</v>
      </c>
      <c r="G5" s="21" t="s">
        <v>150</v>
      </c>
      <c r="H5" s="21" t="s">
        <v>151</v>
      </c>
      <c r="I5" s="21" t="s">
        <v>152</v>
      </c>
      <c r="J5" s="21" t="s">
        <v>153</v>
      </c>
      <c r="K5" s="21" t="s">
        <v>154</v>
      </c>
      <c r="L5" s="21" t="s">
        <v>155</v>
      </c>
      <c r="M5" s="21" t="s">
        <v>156</v>
      </c>
      <c r="N5" s="21" t="s">
        <v>157</v>
      </c>
      <c r="O5" s="21" t="s">
        <v>158</v>
      </c>
    </row>
    <row r="6" customFormat="false" ht="15" hidden="false" customHeight="false" outlineLevel="0" collapsed="false">
      <c r="B6" s="4" t="s">
        <v>159</v>
      </c>
      <c r="D6" s="17" t="n">
        <v>0</v>
      </c>
      <c r="E6" s="24" t="n">
        <f aca="false">D12</f>
        <v>0</v>
      </c>
      <c r="F6" s="24" t="n">
        <f aca="false">E12</f>
        <v>0</v>
      </c>
      <c r="G6" s="24" t="n">
        <f aca="false">F12</f>
        <v>0</v>
      </c>
      <c r="H6" s="24" t="n">
        <f aca="false">G12</f>
        <v>0</v>
      </c>
      <c r="I6" s="24" t="n">
        <f aca="false">H12</f>
        <v>0</v>
      </c>
      <c r="J6" s="24" t="n">
        <f aca="false">I12</f>
        <v>0</v>
      </c>
      <c r="K6" s="24" t="n">
        <f aca="false">J12</f>
        <v>0</v>
      </c>
      <c r="L6" s="24" t="n">
        <f aca="false">K12</f>
        <v>0</v>
      </c>
      <c r="M6" s="24" t="n">
        <f aca="false">L12</f>
        <v>0</v>
      </c>
      <c r="N6" s="24" t="n">
        <f aca="false">M12</f>
        <v>0</v>
      </c>
      <c r="O6" s="24" t="n">
        <f aca="false">N12</f>
        <v>0</v>
      </c>
    </row>
    <row r="7" customFormat="false" ht="15" hidden="false" customHeight="false" outlineLevel="0" collapsed="false">
      <c r="B7" s="4" t="s">
        <v>160</v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  <c r="N7" s="17" t="n">
        <v>0</v>
      </c>
      <c r="O7" s="17" t="n">
        <v>0</v>
      </c>
    </row>
    <row r="8" customFormat="false" ht="15" hidden="false" customHeight="false" outlineLevel="0" collapsed="false">
      <c r="B8" s="4" t="s">
        <v>161</v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</row>
    <row r="9" customFormat="false" ht="15" hidden="false" customHeight="false" outlineLevel="0" collapsed="false">
      <c r="B9" s="4" t="s">
        <v>162</v>
      </c>
      <c r="D9" s="22" t="n">
        <f aca="false">D7-D8</f>
        <v>0</v>
      </c>
      <c r="E9" s="22" t="n">
        <f aca="false">E7-E8</f>
        <v>0</v>
      </c>
      <c r="F9" s="22" t="n">
        <f aca="false">F7-F8</f>
        <v>0</v>
      </c>
      <c r="G9" s="22" t="n">
        <f aca="false">G7-G8</f>
        <v>0</v>
      </c>
      <c r="H9" s="22" t="n">
        <f aca="false">H7-H8</f>
        <v>0</v>
      </c>
      <c r="I9" s="22" t="n">
        <f aca="false">I7-I8</f>
        <v>0</v>
      </c>
      <c r="J9" s="22" t="n">
        <f aca="false">J7-J8</f>
        <v>0</v>
      </c>
      <c r="K9" s="22" t="n">
        <f aca="false">K7-K8</f>
        <v>0</v>
      </c>
      <c r="L9" s="22" t="n">
        <f aca="false">L7-L8</f>
        <v>0</v>
      </c>
      <c r="M9" s="22" t="n">
        <f aca="false">M7-M8</f>
        <v>0</v>
      </c>
      <c r="N9" s="22" t="n">
        <f aca="false">N7-N8</f>
        <v>0</v>
      </c>
      <c r="O9" s="22" t="n">
        <f aca="false">O7-O8</f>
        <v>0</v>
      </c>
    </row>
    <row r="10" customFormat="false" ht="15" hidden="false" customHeight="false" outlineLevel="0" collapsed="false">
      <c r="B10" s="4" t="s">
        <v>163</v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</row>
    <row r="11" customFormat="false" ht="15" hidden="false" customHeight="false" outlineLevel="0" collapsed="false">
      <c r="B11" s="4" t="s">
        <v>164</v>
      </c>
      <c r="D11" s="22" t="n">
        <f aca="false">D9-D10</f>
        <v>0</v>
      </c>
      <c r="E11" s="22" t="n">
        <f aca="false">E9-E10</f>
        <v>0</v>
      </c>
      <c r="F11" s="22" t="n">
        <f aca="false">F9-F10</f>
        <v>0</v>
      </c>
      <c r="G11" s="22" t="n">
        <f aca="false">G9-G10</f>
        <v>0</v>
      </c>
      <c r="H11" s="22" t="n">
        <f aca="false">H9-H10</f>
        <v>0</v>
      </c>
      <c r="I11" s="22" t="n">
        <f aca="false">I9-I10</f>
        <v>0</v>
      </c>
      <c r="J11" s="22" t="n">
        <f aca="false">J9-J10</f>
        <v>0</v>
      </c>
      <c r="K11" s="22" t="n">
        <f aca="false">K9-K10</f>
        <v>0</v>
      </c>
      <c r="L11" s="22" t="n">
        <f aca="false">L9-L10</f>
        <v>0</v>
      </c>
      <c r="M11" s="22" t="n">
        <f aca="false">M9-M10</f>
        <v>0</v>
      </c>
      <c r="N11" s="22" t="n">
        <f aca="false">N9-N10</f>
        <v>0</v>
      </c>
      <c r="O11" s="22" t="n">
        <f aca="false">O9-O10</f>
        <v>0</v>
      </c>
    </row>
    <row r="12" customFormat="false" ht="15" hidden="false" customHeight="false" outlineLevel="0" collapsed="false">
      <c r="B12" s="4" t="s">
        <v>165</v>
      </c>
      <c r="D12" s="22" t="n">
        <f aca="false">D6+D11</f>
        <v>0</v>
      </c>
      <c r="E12" s="22" t="n">
        <f aca="false">E6+E11</f>
        <v>0</v>
      </c>
      <c r="F12" s="22" t="n">
        <f aca="false">F6+F11</f>
        <v>0</v>
      </c>
      <c r="G12" s="22" t="n">
        <f aca="false">G6+G11</f>
        <v>0</v>
      </c>
      <c r="H12" s="22" t="n">
        <f aca="false">H6+H11</f>
        <v>0</v>
      </c>
      <c r="I12" s="22" t="n">
        <f aca="false">I6+I11</f>
        <v>0</v>
      </c>
      <c r="J12" s="22" t="n">
        <f aca="false">J6+J11</f>
        <v>0</v>
      </c>
      <c r="K12" s="22" t="n">
        <f aca="false">K6+K11</f>
        <v>0</v>
      </c>
      <c r="L12" s="22" t="n">
        <f aca="false">L6+L11</f>
        <v>0</v>
      </c>
      <c r="M12" s="22" t="n">
        <f aca="false">M6+M11</f>
        <v>0</v>
      </c>
      <c r="N12" s="22" t="n">
        <f aca="false">N6+N11</f>
        <v>0</v>
      </c>
      <c r="O12" s="22" t="n">
        <f aca="false">O6+O11</f>
        <v>0</v>
      </c>
    </row>
    <row r="13" customFormat="false" ht="15" hidden="false" customHeight="false" outlineLevel="0" collapsed="false">
      <c r="B13" s="4" t="s">
        <v>166</v>
      </c>
      <c r="D13" s="26" t="str">
        <f aca="false">IFERROR(D9/D10,"n.d.")</f>
        <v>n.d.</v>
      </c>
      <c r="E13" s="26" t="str">
        <f aca="false">IFERROR(E9/E10,"n.d.")</f>
        <v>n.d.</v>
      </c>
      <c r="F13" s="26" t="str">
        <f aca="false">IFERROR(F9/F10,"n.d.")</f>
        <v>n.d.</v>
      </c>
      <c r="G13" s="26" t="str">
        <f aca="false">IFERROR(G9/G10,"n.d.")</f>
        <v>n.d.</v>
      </c>
      <c r="H13" s="26" t="str">
        <f aca="false">IFERROR(H9/H10,"n.d.")</f>
        <v>n.d.</v>
      </c>
      <c r="I13" s="26" t="str">
        <f aca="false">IFERROR(I9/I10,"n.d.")</f>
        <v>n.d.</v>
      </c>
      <c r="J13" s="26" t="str">
        <f aca="false">IFERROR(J9/J10,"n.d.")</f>
        <v>n.d.</v>
      </c>
      <c r="K13" s="26" t="str">
        <f aca="false">IFERROR(K9/K10,"n.d.")</f>
        <v>n.d.</v>
      </c>
      <c r="L13" s="26" t="str">
        <f aca="false">IFERROR(L9/L10,"n.d.")</f>
        <v>n.d.</v>
      </c>
      <c r="M13" s="26" t="str">
        <f aca="false">IFERROR(M9/M10,"n.d.")</f>
        <v>n.d.</v>
      </c>
      <c r="N13" s="26" t="str">
        <f aca="false">IFERROR(N9/N10,"n.d.")</f>
        <v>n.d.</v>
      </c>
      <c r="O13" s="26" t="str">
        <f aca="false">IFERROR(O9/O10,"n.d.")</f>
        <v>n.d.</v>
      </c>
    </row>
    <row r="15" customFormat="false" ht="18" hidden="false" customHeight="true" outlineLevel="0" collapsed="false">
      <c r="B15" s="3" t="s">
        <v>167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customFormat="false" ht="15" hidden="false" customHeight="false" outlineLevel="0" collapsed="false">
      <c r="B16" s="4" t="s">
        <v>168</v>
      </c>
      <c r="D16" s="24" t="n">
        <f aca="false">SUM(D9:I9)</f>
        <v>0</v>
      </c>
    </row>
    <row r="17" customFormat="false" ht="15" hidden="false" customHeight="false" outlineLevel="0" collapsed="false">
      <c r="B17" s="4" t="s">
        <v>169</v>
      </c>
      <c r="D17" s="24" t="n">
        <f aca="false">SUM(D10:I10)</f>
        <v>0</v>
      </c>
    </row>
    <row r="18" customFormat="false" ht="15" hidden="false" customHeight="false" outlineLevel="0" collapsed="false">
      <c r="B18" s="4" t="s">
        <v>170</v>
      </c>
      <c r="D18" s="29" t="str">
        <f aca="false">IFERROR(D16/D17,"n.d.")</f>
        <v>n.d.</v>
      </c>
    </row>
    <row r="19" customFormat="false" ht="15" hidden="false" customHeight="false" outlineLevel="0" collapsed="false">
      <c r="B19" s="4" t="s">
        <v>171</v>
      </c>
      <c r="D19" s="24" t="n">
        <f aca="false">MIN(D12:O12)</f>
        <v>0</v>
      </c>
    </row>
    <row r="20" customFormat="false" ht="15" hidden="false" customHeight="false" outlineLevel="0" collapsed="false">
      <c r="B20" s="4" t="s">
        <v>172</v>
      </c>
      <c r="D20" s="30" t="str">
        <f aca="false">INDEX(D5:O5,MATCH(D19,D12:O12,0))</f>
        <v>Mese 1</v>
      </c>
    </row>
    <row r="22" customFormat="false" ht="22.35" hidden="false" customHeight="true" outlineLevel="0" collapsed="false">
      <c r="B22" s="15" t="s">
        <v>173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</row>
  </sheetData>
  <mergeCells count="5">
    <mergeCell ref="B2:O2"/>
    <mergeCell ref="B3:O3"/>
    <mergeCell ref="B4:O4"/>
    <mergeCell ref="B15:O15"/>
    <mergeCell ref="B22:O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6"/>
    <col collapsed="false" customWidth="true" hidden="false" outlineLevel="0" max="5" min="5" style="0" width="20"/>
    <col collapsed="false" customWidth="true" hidden="false" outlineLevel="0" max="6" min="6" style="0" width="3"/>
  </cols>
  <sheetData>
    <row r="2" customFormat="false" ht="25.5" hidden="false" customHeight="true" outlineLevel="0" collapsed="false">
      <c r="B2" s="1" t="s">
        <v>174</v>
      </c>
      <c r="C2" s="1"/>
      <c r="D2" s="1"/>
      <c r="E2" s="1"/>
    </row>
    <row r="3" customFormat="false" ht="15.75" hidden="false" customHeight="true" outlineLevel="0" collapsed="false">
      <c r="B3" s="2" t="s">
        <v>175</v>
      </c>
      <c r="C3" s="2"/>
      <c r="D3" s="2"/>
      <c r="E3" s="2"/>
    </row>
    <row r="6" customFormat="false" ht="18" hidden="false" customHeight="true" outlineLevel="0" collapsed="false">
      <c r="B6" s="3" t="s">
        <v>176</v>
      </c>
      <c r="C6" s="3"/>
      <c r="D6" s="3"/>
      <c r="E6" s="3"/>
    </row>
    <row r="7" customFormat="false" ht="15" hidden="false" customHeight="false" outlineLevel="0" collapsed="false">
      <c r="B7" s="4" t="s">
        <v>177</v>
      </c>
      <c r="C7" s="12" t="n">
        <f aca="false">bilancio_sp!E27</f>
        <v>0</v>
      </c>
    </row>
    <row r="8" customFormat="false" ht="32.8" hidden="false" customHeight="true" outlineLevel="0" collapsed="false">
      <c r="B8" s="4" t="s">
        <v>178</v>
      </c>
      <c r="C8" s="17" t="n">
        <v>10000</v>
      </c>
      <c r="D8" s="15" t="s">
        <v>179</v>
      </c>
      <c r="E8" s="15"/>
    </row>
    <row r="9" customFormat="false" ht="15" hidden="false" customHeight="false" outlineLevel="0" collapsed="false">
      <c r="B9" s="4" t="s">
        <v>180</v>
      </c>
      <c r="C9" s="5" t="str">
        <f aca="false">IF(C7&lt;0,"PN NEGATIVO",IF(C7&lt;C8,"PN SOTTO IL MINIMO LEGALE","OK"))</f>
        <v>PN SOTTO IL MINIMO LEGALE</v>
      </c>
    </row>
    <row r="11" customFormat="false" ht="18" hidden="false" customHeight="true" outlineLevel="0" collapsed="false">
      <c r="B11" s="3" t="s">
        <v>181</v>
      </c>
      <c r="C11" s="3"/>
      <c r="D11" s="3"/>
      <c r="E11" s="3"/>
    </row>
    <row r="12" customFormat="false" ht="15" hidden="false" customHeight="false" outlineLevel="0" collapsed="false">
      <c r="B12" s="4" t="s">
        <v>182</v>
      </c>
      <c r="C12" s="31" t="str">
        <f aca="false">flussi_cassa!D18</f>
        <v>n.d.</v>
      </c>
    </row>
    <row r="13" customFormat="false" ht="15" hidden="false" customHeight="false" outlineLevel="0" collapsed="false">
      <c r="B13" s="4" t="s">
        <v>183</v>
      </c>
      <c r="C13" s="32" t="n">
        <v>1</v>
      </c>
    </row>
    <row r="14" customFormat="false" ht="15" hidden="false" customHeight="false" outlineLevel="0" collapsed="false">
      <c r="B14" s="4" t="s">
        <v>180</v>
      </c>
      <c r="C14" s="5" t="str">
        <f aca="false">IF(ISNUMBER(C12),IF(C12&gt;=C13,"OK","DSCR INSUFFICIENTE"),"n.d.")</f>
        <v>n.d.</v>
      </c>
    </row>
    <row r="16" customFormat="false" ht="18" hidden="false" customHeight="true" outlineLevel="0" collapsed="false">
      <c r="B16" s="3" t="s">
        <v>184</v>
      </c>
      <c r="C16" s="3"/>
      <c r="D16" s="3"/>
      <c r="E16" s="3"/>
    </row>
    <row r="17" customFormat="false" ht="30" hidden="false" customHeight="true" outlineLevel="0" collapsed="false">
      <c r="B17" s="21" t="s">
        <v>185</v>
      </c>
      <c r="C17" s="21" t="s">
        <v>186</v>
      </c>
      <c r="D17" s="21" t="s">
        <v>187</v>
      </c>
      <c r="E17" s="21" t="s">
        <v>180</v>
      </c>
    </row>
    <row r="18" customFormat="false" ht="15" hidden="false" customHeight="false" outlineLevel="0" collapsed="false">
      <c r="B18" s="11" t="s">
        <v>188</v>
      </c>
      <c r="C18" s="25" t="str">
        <f aca="false">IFERROR(bilancio_ce!E25/bilancio_ce!E6,"n.d.")</f>
        <v>n.d.</v>
      </c>
      <c r="D18" s="33" t="n">
        <v>0.02</v>
      </c>
      <c r="E18" s="5" t="str">
        <f aca="false">IF(C18&lt;=D18,"OK","SUPERATA")</f>
        <v>SUPERATA</v>
      </c>
    </row>
    <row r="19" customFormat="false" ht="15" hidden="false" customHeight="false" outlineLevel="0" collapsed="false">
      <c r="B19" s="11" t="s">
        <v>189</v>
      </c>
      <c r="C19" s="25" t="str">
        <f aca="false">IFERROR(bilancio_sp!E27/(bilancio_sp!E37),"n.d.")</f>
        <v>n.d.</v>
      </c>
      <c r="D19" s="33" t="n">
        <v>0</v>
      </c>
      <c r="E19" s="5" t="str">
        <f aca="false">IF(C19&gt;=D19,"OK","NON RAGGIUNTA")</f>
        <v>OK</v>
      </c>
    </row>
    <row r="20" customFormat="false" ht="15" hidden="false" customHeight="false" outlineLevel="0" collapsed="false">
      <c r="B20" s="11" t="s">
        <v>190</v>
      </c>
      <c r="C20" s="25" t="str">
        <f aca="false">IFERROR((bilancio_ce!E18)/bilancio_sp!E20,"n.d.")</f>
        <v>n.d.</v>
      </c>
      <c r="D20" s="33" t="n">
        <v>0.02</v>
      </c>
      <c r="E20" s="5" t="str">
        <f aca="false">IF(C20&gt;=D20,"OK","NON RAGGIUNTA")</f>
        <v>OK</v>
      </c>
    </row>
    <row r="21" customFormat="false" ht="15" hidden="false" customHeight="false" outlineLevel="0" collapsed="false">
      <c r="B21" s="11" t="s">
        <v>191</v>
      </c>
      <c r="C21" s="26" t="str">
        <f aca="false">IFERROR(bilancio_sp!E16/(bilancio_sp!E32+bilancio_sp!E33+bilancio_sp!E34+bilancio_sp!E35+bilancio_sp!E36),"n.d.")</f>
        <v>n.d.</v>
      </c>
      <c r="D21" s="32" t="n">
        <v>1</v>
      </c>
      <c r="E21" s="5" t="str">
        <f aca="false">IF(C21&gt;=D21,"OK","NON RAGGIUNTA")</f>
        <v>OK</v>
      </c>
    </row>
    <row r="22" customFormat="false" ht="15" hidden="false" customHeight="false" outlineLevel="0" collapsed="false">
      <c r="B22" s="11" t="s">
        <v>192</v>
      </c>
      <c r="C22" s="33" t="n">
        <v>0</v>
      </c>
      <c r="D22" s="33" t="n">
        <v>0.05</v>
      </c>
      <c r="E22" s="5" t="str">
        <f aca="false">IF(C22&lt;=D22,"OK","SUPERATA")</f>
        <v>OK</v>
      </c>
    </row>
    <row r="23" customFormat="false" ht="43.25" hidden="false" customHeight="true" outlineLevel="0" collapsed="false">
      <c r="B23" s="15" t="s">
        <v>193</v>
      </c>
      <c r="C23" s="15"/>
      <c r="D23" s="15"/>
      <c r="E23" s="15"/>
    </row>
    <row r="25" customFormat="false" ht="18" hidden="false" customHeight="true" outlineLevel="0" collapsed="false">
      <c r="B25" s="3" t="s">
        <v>194</v>
      </c>
      <c r="C25" s="3"/>
      <c r="D25" s="3"/>
      <c r="E25" s="3"/>
    </row>
    <row r="26" customFormat="false" ht="15" hidden="false" customHeight="false" outlineLevel="0" collapsed="false">
      <c r="B26" s="4" t="s">
        <v>195</v>
      </c>
      <c r="C26" s="30" t="n">
        <f aca="false">COUNTIF(C9,"&lt;&gt;OK")+COUNTIF(C14,"&lt;&gt;OK")+COUNTIF(E18:E22,"&lt;&gt;OK")</f>
        <v>3</v>
      </c>
    </row>
    <row r="27" customFormat="false" ht="15" hidden="false" customHeight="false" outlineLevel="0" collapsed="false">
      <c r="B27" s="4" t="s">
        <v>196</v>
      </c>
      <c r="C27" s="5" t="str">
        <f aca="false">IF(C26=0,"VERDE - nessuna criticita rilevata",IF(C26&lt;=2,"GIALLO - approfondire con adeguati assetti","ROSSO - piu indicatori in allerta, valutare con advisor"))</f>
        <v>ROSSO - piu indicatori in allerta, valutare con advisor</v>
      </c>
    </row>
  </sheetData>
  <mergeCells count="8">
    <mergeCell ref="B2:E2"/>
    <mergeCell ref="B3:E3"/>
    <mergeCell ref="B6:E6"/>
    <mergeCell ref="D8:E8"/>
    <mergeCell ref="B11:E11"/>
    <mergeCell ref="B16:E16"/>
    <mergeCell ref="B23:E23"/>
    <mergeCell ref="B25:E25"/>
  </mergeCells>
  <conditionalFormatting sqref="C9">
    <cfRule type="expression" priority="2" aboveAverage="0" equalAverage="0" bottom="0" percent="0" rank="0" text="" dxfId="1">
      <formula>C9="OK"</formula>
    </cfRule>
    <cfRule type="expression" priority="3" aboveAverage="0" equalAverage="0" bottom="0" percent="0" rank="0" text="" dxfId="0">
      <formula>C9&lt;&gt;"OK"</formula>
    </cfRule>
  </conditionalFormatting>
  <conditionalFormatting sqref="C14">
    <cfRule type="expression" priority="4" aboveAverage="0" equalAverage="0" bottom="0" percent="0" rank="0" text="" dxfId="1">
      <formula>C14="OK"</formula>
    </cfRule>
    <cfRule type="expression" priority="5" aboveAverage="0" equalAverage="0" bottom="0" percent="0" rank="0" text="" dxfId="0">
      <formula>C14="DSCR INSUFFICIENTE"</formula>
    </cfRule>
  </conditionalFormatting>
  <conditionalFormatting sqref="E18">
    <cfRule type="expression" priority="6" aboveAverage="0" equalAverage="0" bottom="0" percent="0" rank="0" text="" dxfId="1">
      <formula>E18="OK"</formula>
    </cfRule>
    <cfRule type="expression" priority="7" aboveAverage="0" equalAverage="0" bottom="0" percent="0" rank="0" text="" dxfId="0">
      <formula>E18&lt;&gt;"OK"</formula>
    </cfRule>
  </conditionalFormatting>
  <conditionalFormatting sqref="E19">
    <cfRule type="expression" priority="8" aboveAverage="0" equalAverage="0" bottom="0" percent="0" rank="0" text="" dxfId="1">
      <formula>E19="OK"</formula>
    </cfRule>
    <cfRule type="expression" priority="9" aboveAverage="0" equalAverage="0" bottom="0" percent="0" rank="0" text="" dxfId="0">
      <formula>E19&lt;&gt;"OK"</formula>
    </cfRule>
  </conditionalFormatting>
  <conditionalFormatting sqref="E20">
    <cfRule type="expression" priority="10" aboveAverage="0" equalAverage="0" bottom="0" percent="0" rank="0" text="" dxfId="1">
      <formula>E20="OK"</formula>
    </cfRule>
    <cfRule type="expression" priority="11" aboveAverage="0" equalAverage="0" bottom="0" percent="0" rank="0" text="" dxfId="0">
      <formula>E20&lt;&gt;"OK"</formula>
    </cfRule>
  </conditionalFormatting>
  <conditionalFormatting sqref="E21">
    <cfRule type="expression" priority="12" aboveAverage="0" equalAverage="0" bottom="0" percent="0" rank="0" text="" dxfId="1">
      <formula>E21="OK"</formula>
    </cfRule>
    <cfRule type="expression" priority="13" aboveAverage="0" equalAverage="0" bottom="0" percent="0" rank="0" text="" dxfId="0">
      <formula>E21&lt;&gt;"OK"</formula>
    </cfRule>
  </conditionalFormatting>
  <conditionalFormatting sqref="E22">
    <cfRule type="expression" priority="14" aboveAverage="0" equalAverage="0" bottom="0" percent="0" rank="0" text="" dxfId="1">
      <formula>E22="OK"</formula>
    </cfRule>
    <cfRule type="expression" priority="15" aboveAverage="0" equalAverage="0" bottom="0" percent="0" rank="0" text="" dxfId="0">
      <formula>E22&lt;&gt;"OK"</formula>
    </cfRule>
  </conditionalFormatting>
  <conditionalFormatting sqref="C27">
    <cfRule type="expression" priority="16" aboveAverage="0" equalAverage="0" bottom="0" percent="0" rank="0" text="" dxfId="1">
      <formula>LEFT(C27,5)="VERDE"</formula>
    </cfRule>
    <cfRule type="expression" priority="17" aboveAverage="0" equalAverage="0" bottom="0" percent="0" rank="0" text="" dxfId="2">
      <formula>LEFT(C27,6)="GIALLO"</formula>
    </cfRule>
    <cfRule type="expression" priority="18" aboveAverage="0" equalAverage="0" bottom="0" percent="0" rank="0" text="" dxfId="0">
      <formula>LEFT(C27,5)="ROSSO"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6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3"/>
  </cols>
  <sheetData>
    <row r="2" customFormat="false" ht="25.5" hidden="false" customHeight="true" outlineLevel="0" collapsed="false">
      <c r="B2" s="1" t="s">
        <v>197</v>
      </c>
      <c r="C2" s="1"/>
      <c r="D2" s="1"/>
      <c r="E2" s="1"/>
      <c r="F2" s="1"/>
    </row>
    <row r="3" customFormat="false" ht="15.75" hidden="false" customHeight="true" outlineLevel="0" collapsed="false">
      <c r="B3" s="2" t="s">
        <v>198</v>
      </c>
      <c r="C3" s="2"/>
      <c r="D3" s="2"/>
      <c r="E3" s="2"/>
      <c r="F3" s="2"/>
    </row>
    <row r="6" customFormat="false" ht="18" hidden="false" customHeight="true" outlineLevel="0" collapsed="false">
      <c r="B6" s="3" t="s">
        <v>199</v>
      </c>
      <c r="C6" s="3"/>
      <c r="D6" s="3"/>
      <c r="E6" s="3"/>
      <c r="F6" s="3"/>
    </row>
    <row r="7" customFormat="false" ht="30" hidden="false" customHeight="true" outlineLevel="0" collapsed="false">
      <c r="B7" s="21" t="s">
        <v>200</v>
      </c>
      <c r="C7" s="21" t="s">
        <v>201</v>
      </c>
      <c r="D7" s="21" t="s">
        <v>202</v>
      </c>
    </row>
    <row r="8" customFormat="false" ht="15" hidden="false" customHeight="false" outlineLevel="0" collapsed="false">
      <c r="B8" s="11" t="s">
        <v>20</v>
      </c>
      <c r="C8" s="24" t="n">
        <f aca="false">SUMIF($B$17:$B$41,$B8,$F$17:$F$41)</f>
        <v>0</v>
      </c>
      <c r="D8" s="25" t="str">
        <f aca="false">IFERROR(C8/C$13,"n.d.")</f>
        <v>n.d.</v>
      </c>
    </row>
    <row r="9" customFormat="false" ht="15" hidden="false" customHeight="false" outlineLevel="0" collapsed="false">
      <c r="B9" s="11" t="s">
        <v>22</v>
      </c>
      <c r="C9" s="24" t="n">
        <f aca="false">SUMIF($B$17:$B$41,$B9,$F$17:$F$41)</f>
        <v>0</v>
      </c>
      <c r="D9" s="25" t="str">
        <f aca="false">IFERROR(C9/C$13,"n.d.")</f>
        <v>n.d.</v>
      </c>
    </row>
    <row r="10" customFormat="false" ht="15" hidden="false" customHeight="false" outlineLevel="0" collapsed="false">
      <c r="B10" s="11" t="s">
        <v>24</v>
      </c>
      <c r="C10" s="24" t="n">
        <f aca="false">SUMIF($B$17:$B$41,$B10,$F$17:$F$41)</f>
        <v>0</v>
      </c>
      <c r="D10" s="25" t="str">
        <f aca="false">IFERROR(C10/C$13,"n.d.")</f>
        <v>n.d.</v>
      </c>
    </row>
    <row r="11" customFormat="false" ht="15" hidden="false" customHeight="false" outlineLevel="0" collapsed="false">
      <c r="B11" s="11" t="s">
        <v>26</v>
      </c>
      <c r="C11" s="24" t="n">
        <f aca="false">SUMIF($B$17:$B$41,$B11,$F$17:$F$41)</f>
        <v>0</v>
      </c>
      <c r="D11" s="25" t="str">
        <f aca="false">IFERROR(C11/C$13,"n.d.")</f>
        <v>n.d.</v>
      </c>
    </row>
    <row r="12" customFormat="false" ht="15" hidden="false" customHeight="false" outlineLevel="0" collapsed="false">
      <c r="B12" s="11" t="s">
        <v>28</v>
      </c>
      <c r="C12" s="24" t="n">
        <f aca="false">SUMIF($B$17:$B$41,$B12,$F$17:$F$41)</f>
        <v>0</v>
      </c>
      <c r="D12" s="25" t="str">
        <f aca="false">IFERROR(C12/C$13,"n.d.")</f>
        <v>n.d.</v>
      </c>
    </row>
    <row r="13" customFormat="false" ht="15" hidden="false" customHeight="false" outlineLevel="0" collapsed="false">
      <c r="B13" s="4" t="s">
        <v>11</v>
      </c>
      <c r="C13" s="22" t="n">
        <f aca="false">SUM(C8:C12)</f>
        <v>0</v>
      </c>
      <c r="D13" s="34" t="str">
        <f aca="false">IFERROR(C13/C13,"n.d.")</f>
        <v>n.d.</v>
      </c>
    </row>
    <row r="15" customFormat="false" ht="18" hidden="false" customHeight="true" outlineLevel="0" collapsed="false">
      <c r="B15" s="3" t="s">
        <v>203</v>
      </c>
      <c r="C15" s="3"/>
      <c r="D15" s="3"/>
      <c r="E15" s="3"/>
      <c r="F15" s="3"/>
    </row>
    <row r="16" customFormat="false" ht="30" hidden="false" customHeight="true" outlineLevel="0" collapsed="false">
      <c r="B16" s="21" t="s">
        <v>200</v>
      </c>
      <c r="C16" s="21" t="s">
        <v>204</v>
      </c>
      <c r="D16" s="21" t="s">
        <v>205</v>
      </c>
      <c r="E16" s="21" t="s">
        <v>206</v>
      </c>
      <c r="F16" s="21" t="s">
        <v>207</v>
      </c>
    </row>
    <row r="17" customFormat="false" ht="15" hidden="false" customHeight="false" outlineLevel="0" collapsed="false">
      <c r="B17" s="16"/>
      <c r="C17" s="16"/>
      <c r="D17" s="16"/>
      <c r="E17" s="16"/>
      <c r="F17" s="17" t="n">
        <v>0</v>
      </c>
    </row>
    <row r="18" customFormat="false" ht="15" hidden="false" customHeight="false" outlineLevel="0" collapsed="false">
      <c r="B18" s="16"/>
      <c r="C18" s="16"/>
      <c r="D18" s="16"/>
      <c r="E18" s="16"/>
      <c r="F18" s="17" t="n">
        <v>0</v>
      </c>
    </row>
    <row r="19" customFormat="false" ht="15" hidden="false" customHeight="false" outlineLevel="0" collapsed="false">
      <c r="B19" s="16"/>
      <c r="C19" s="16"/>
      <c r="D19" s="16"/>
      <c r="E19" s="16"/>
      <c r="F19" s="17" t="n">
        <v>0</v>
      </c>
    </row>
    <row r="20" customFormat="false" ht="15" hidden="false" customHeight="false" outlineLevel="0" collapsed="false">
      <c r="B20" s="16"/>
      <c r="C20" s="16"/>
      <c r="D20" s="16"/>
      <c r="E20" s="16"/>
      <c r="F20" s="17" t="n">
        <v>0</v>
      </c>
    </row>
    <row r="21" customFormat="false" ht="15" hidden="false" customHeight="false" outlineLevel="0" collapsed="false">
      <c r="B21" s="16"/>
      <c r="C21" s="16"/>
      <c r="D21" s="16"/>
      <c r="E21" s="16"/>
      <c r="F21" s="17" t="n">
        <v>0</v>
      </c>
    </row>
    <row r="22" customFormat="false" ht="15" hidden="false" customHeight="false" outlineLevel="0" collapsed="false">
      <c r="B22" s="16"/>
      <c r="C22" s="16"/>
      <c r="D22" s="16"/>
      <c r="E22" s="16"/>
      <c r="F22" s="17" t="n">
        <v>0</v>
      </c>
    </row>
    <row r="23" customFormat="false" ht="15" hidden="false" customHeight="false" outlineLevel="0" collapsed="false">
      <c r="B23" s="16"/>
      <c r="C23" s="16"/>
      <c r="D23" s="16"/>
      <c r="E23" s="16"/>
      <c r="F23" s="17" t="n">
        <v>0</v>
      </c>
    </row>
    <row r="24" customFormat="false" ht="15" hidden="false" customHeight="false" outlineLevel="0" collapsed="false">
      <c r="B24" s="16"/>
      <c r="C24" s="16"/>
      <c r="D24" s="16"/>
      <c r="E24" s="16"/>
      <c r="F24" s="17" t="n">
        <v>0</v>
      </c>
    </row>
    <row r="25" customFormat="false" ht="15" hidden="false" customHeight="false" outlineLevel="0" collapsed="false">
      <c r="B25" s="16"/>
      <c r="C25" s="16"/>
      <c r="D25" s="16"/>
      <c r="E25" s="16"/>
      <c r="F25" s="17" t="n">
        <v>0</v>
      </c>
    </row>
    <row r="26" customFormat="false" ht="15" hidden="false" customHeight="false" outlineLevel="0" collapsed="false">
      <c r="B26" s="16"/>
      <c r="C26" s="16"/>
      <c r="D26" s="16"/>
      <c r="E26" s="16"/>
      <c r="F26" s="17" t="n">
        <v>0</v>
      </c>
    </row>
    <row r="27" customFormat="false" ht="15" hidden="false" customHeight="false" outlineLevel="0" collapsed="false">
      <c r="B27" s="16"/>
      <c r="C27" s="16"/>
      <c r="D27" s="16"/>
      <c r="E27" s="16"/>
      <c r="F27" s="17" t="n">
        <v>0</v>
      </c>
    </row>
    <row r="28" customFormat="false" ht="15" hidden="false" customHeight="false" outlineLevel="0" collapsed="false">
      <c r="B28" s="16"/>
      <c r="C28" s="16"/>
      <c r="D28" s="16"/>
      <c r="E28" s="16"/>
      <c r="F28" s="17" t="n">
        <v>0</v>
      </c>
    </row>
    <row r="29" customFormat="false" ht="15" hidden="false" customHeight="false" outlineLevel="0" collapsed="false">
      <c r="B29" s="16"/>
      <c r="C29" s="16"/>
      <c r="D29" s="16"/>
      <c r="E29" s="16"/>
      <c r="F29" s="17" t="n">
        <v>0</v>
      </c>
    </row>
    <row r="30" customFormat="false" ht="15" hidden="false" customHeight="false" outlineLevel="0" collapsed="false">
      <c r="B30" s="16"/>
      <c r="C30" s="16"/>
      <c r="D30" s="16"/>
      <c r="E30" s="16"/>
      <c r="F30" s="17" t="n">
        <v>0</v>
      </c>
    </row>
    <row r="31" customFormat="false" ht="15" hidden="false" customHeight="false" outlineLevel="0" collapsed="false">
      <c r="B31" s="16"/>
      <c r="C31" s="16"/>
      <c r="D31" s="16"/>
      <c r="E31" s="16"/>
      <c r="F31" s="17" t="n">
        <v>0</v>
      </c>
    </row>
    <row r="32" customFormat="false" ht="15" hidden="false" customHeight="false" outlineLevel="0" collapsed="false">
      <c r="B32" s="16"/>
      <c r="C32" s="16"/>
      <c r="D32" s="16"/>
      <c r="E32" s="16"/>
      <c r="F32" s="17" t="n">
        <v>0</v>
      </c>
    </row>
    <row r="33" customFormat="false" ht="15" hidden="false" customHeight="false" outlineLevel="0" collapsed="false">
      <c r="B33" s="16"/>
      <c r="C33" s="16"/>
      <c r="D33" s="16"/>
      <c r="E33" s="16"/>
      <c r="F33" s="17" t="n">
        <v>0</v>
      </c>
    </row>
    <row r="34" customFormat="false" ht="15" hidden="false" customHeight="false" outlineLevel="0" collapsed="false">
      <c r="B34" s="16"/>
      <c r="C34" s="16"/>
      <c r="D34" s="16"/>
      <c r="E34" s="16"/>
      <c r="F34" s="17" t="n">
        <v>0</v>
      </c>
    </row>
    <row r="35" customFormat="false" ht="15" hidden="false" customHeight="false" outlineLevel="0" collapsed="false">
      <c r="B35" s="16"/>
      <c r="C35" s="16"/>
      <c r="D35" s="16"/>
      <c r="E35" s="16"/>
      <c r="F35" s="17" t="n">
        <v>0</v>
      </c>
    </row>
    <row r="36" customFormat="false" ht="15" hidden="false" customHeight="false" outlineLevel="0" collapsed="false">
      <c r="B36" s="16"/>
      <c r="C36" s="16"/>
      <c r="D36" s="16"/>
      <c r="E36" s="16"/>
      <c r="F36" s="17" t="n">
        <v>0</v>
      </c>
    </row>
    <row r="37" customFormat="false" ht="15" hidden="false" customHeight="false" outlineLevel="0" collapsed="false">
      <c r="B37" s="16"/>
      <c r="C37" s="16"/>
      <c r="D37" s="16"/>
      <c r="E37" s="16"/>
      <c r="F37" s="17" t="n">
        <v>0</v>
      </c>
    </row>
    <row r="38" customFormat="false" ht="15" hidden="false" customHeight="false" outlineLevel="0" collapsed="false">
      <c r="B38" s="16"/>
      <c r="C38" s="16"/>
      <c r="D38" s="16"/>
      <c r="E38" s="16"/>
      <c r="F38" s="17" t="n">
        <v>0</v>
      </c>
    </row>
    <row r="39" customFormat="false" ht="15" hidden="false" customHeight="false" outlineLevel="0" collapsed="false">
      <c r="B39" s="16"/>
      <c r="C39" s="16"/>
      <c r="D39" s="16"/>
      <c r="E39" s="16"/>
      <c r="F39" s="17" t="n">
        <v>0</v>
      </c>
    </row>
    <row r="40" customFormat="false" ht="15" hidden="false" customHeight="false" outlineLevel="0" collapsed="false">
      <c r="B40" s="16"/>
      <c r="C40" s="16"/>
      <c r="D40" s="16"/>
      <c r="E40" s="16"/>
      <c r="F40" s="17" t="n">
        <v>0</v>
      </c>
    </row>
    <row r="41" customFormat="false" ht="15" hidden="false" customHeight="false" outlineLevel="0" collapsed="false">
      <c r="B41" s="16"/>
      <c r="C41" s="16"/>
      <c r="D41" s="16"/>
      <c r="E41" s="16"/>
      <c r="F41" s="17" t="n">
        <v>0</v>
      </c>
    </row>
    <row r="42" customFormat="false" ht="15" hidden="false" customHeight="false" outlineLevel="0" collapsed="false">
      <c r="B42" s="4" t="s">
        <v>201</v>
      </c>
      <c r="F42" s="22" t="n">
        <f aca="false">SUM(F17:F41)</f>
        <v>0</v>
      </c>
    </row>
    <row r="44" customFormat="false" ht="22.35" hidden="false" customHeight="true" outlineLevel="0" collapsed="false">
      <c r="B44" s="15" t="s">
        <v>208</v>
      </c>
      <c r="C44" s="15"/>
      <c r="D44" s="15"/>
      <c r="E44" s="15"/>
      <c r="F44" s="15"/>
    </row>
  </sheetData>
  <mergeCells count="5">
    <mergeCell ref="B2:F2"/>
    <mergeCell ref="B3:F3"/>
    <mergeCell ref="B6:F6"/>
    <mergeCell ref="B15:F15"/>
    <mergeCell ref="B44:F44"/>
  </mergeCells>
  <dataValidations count="25">
    <dataValidation allowBlank="true" errorStyle="stop" operator="between" showDropDown="false" showErrorMessage="false" showInputMessage="false" sqref="B17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18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19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20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21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22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23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24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25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26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27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28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29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30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31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32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33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34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35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36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37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38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39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40" type="list">
      <formula1>"Prededucibile,Privilegio speciale (ipoteca / pegno),Privilegio generale - lavoratori (art. 2751-bis c.c.),Privilegio generale - tributi e contributi,Chirografario"</formula1>
      <formula2>0</formula2>
    </dataValidation>
    <dataValidation allowBlank="true" errorStyle="stop" operator="between" showDropDown="false" showErrorMessage="false" showInputMessage="false" sqref="B41" type="list">
      <formula1>"Prededucibile,Privilegio speciale (ipoteca / pegno),Privilegio generale - lavoratori (art. 2751-bis c.c.),Privilegio generale - tributi e contributi,Chirografario"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7" min="3" style="0" width="18"/>
    <col collapsed="false" customWidth="true" hidden="false" outlineLevel="0" max="8" min="8" style="0" width="3"/>
  </cols>
  <sheetData>
    <row r="2" customFormat="false" ht="25.5" hidden="false" customHeight="true" outlineLevel="0" collapsed="false">
      <c r="B2" s="1" t="s">
        <v>209</v>
      </c>
      <c r="C2" s="1"/>
      <c r="D2" s="1"/>
      <c r="E2" s="1"/>
      <c r="F2" s="1"/>
      <c r="G2" s="1"/>
    </row>
    <row r="3" customFormat="false" ht="15.75" hidden="false" customHeight="true" outlineLevel="0" collapsed="false">
      <c r="B3" s="2" t="s">
        <v>210</v>
      </c>
      <c r="C3" s="2"/>
      <c r="D3" s="2"/>
      <c r="E3" s="2"/>
      <c r="F3" s="2"/>
      <c r="G3" s="2"/>
    </row>
    <row r="6" customFormat="false" ht="18" hidden="false" customHeight="true" outlineLevel="0" collapsed="false">
      <c r="B6" s="3" t="s">
        <v>211</v>
      </c>
      <c r="C6" s="3"/>
      <c r="D6" s="3"/>
      <c r="E6" s="3"/>
      <c r="F6" s="3"/>
      <c r="G6" s="3"/>
    </row>
    <row r="7" customFormat="false" ht="30" hidden="false" customHeight="true" outlineLevel="0" collapsed="false">
      <c r="B7" s="21" t="s">
        <v>212</v>
      </c>
      <c r="C7" s="21" t="s">
        <v>213</v>
      </c>
      <c r="D7" s="21" t="s">
        <v>214</v>
      </c>
      <c r="E7" s="21" t="s">
        <v>215</v>
      </c>
      <c r="F7" s="21" t="s">
        <v>216</v>
      </c>
      <c r="G7" s="21" t="s">
        <v>217</v>
      </c>
    </row>
    <row r="8" customFormat="false" ht="15" hidden="false" customHeight="false" outlineLevel="0" collapsed="false">
      <c r="B8" s="11" t="s">
        <v>218</v>
      </c>
      <c r="C8" s="17" t="n">
        <v>0</v>
      </c>
      <c r="D8" s="17" t="n">
        <v>0</v>
      </c>
      <c r="E8" s="23" t="n">
        <f aca="false">C8-D8</f>
        <v>0</v>
      </c>
      <c r="F8" s="25" t="str">
        <f aca="false">IFERROR(MIN(E8,(passivo_creditori!C8+passivo_creditori!C9+passivo_creditori!C10+passivo_creditori!C11))/(passivo_creditori!C8+passivo_creditori!C9+passivo_creditori!C10+passivo_creditori!C11),"n.d.")</f>
        <v>n.d.</v>
      </c>
      <c r="G8" s="25" t="str">
        <f aca="false">IFERROR(MAX(E8-(passivo_creditori!C8+passivo_creditori!C9+passivo_creditori!C10+passivo_creditori!C11),0)/(passivo_creditori!C12),"n.d.")</f>
        <v>n.d.</v>
      </c>
    </row>
    <row r="9" customFormat="false" ht="15" hidden="false" customHeight="false" outlineLevel="0" collapsed="false">
      <c r="B9" s="11" t="s">
        <v>219</v>
      </c>
      <c r="C9" s="17" t="n">
        <v>0</v>
      </c>
      <c r="D9" s="17" t="n">
        <v>0</v>
      </c>
      <c r="E9" s="23" t="n">
        <f aca="false">C9-D9</f>
        <v>0</v>
      </c>
      <c r="F9" s="25" t="str">
        <f aca="false">IFERROR(MIN(E9,(passivo_creditori!C8+passivo_creditori!C9+passivo_creditori!C10+passivo_creditori!C11))/(passivo_creditori!C8+passivo_creditori!C9+passivo_creditori!C10+passivo_creditori!C11),"n.d.")</f>
        <v>n.d.</v>
      </c>
      <c r="G9" s="25" t="str">
        <f aca="false">IFERROR(MAX(E9-(passivo_creditori!C8+passivo_creditori!C9+passivo_creditori!C10+passivo_creditori!C11),0)/(passivo_creditori!C12),"n.d.")</f>
        <v>n.d.</v>
      </c>
    </row>
    <row r="10" customFormat="false" ht="15" hidden="false" customHeight="false" outlineLevel="0" collapsed="false">
      <c r="B10" s="11" t="s">
        <v>220</v>
      </c>
      <c r="C10" s="17" t="n">
        <v>0</v>
      </c>
      <c r="D10" s="17" t="n">
        <v>0</v>
      </c>
      <c r="E10" s="23" t="n">
        <f aca="false">C10-D10</f>
        <v>0</v>
      </c>
      <c r="F10" s="25" t="str">
        <f aca="false">IFERROR(MIN(E10,(passivo_creditori!C8+passivo_creditori!C9+passivo_creditori!C10+passivo_creditori!C11))/(passivo_creditori!C8+passivo_creditori!C9+passivo_creditori!C10+passivo_creditori!C11),"n.d.")</f>
        <v>n.d.</v>
      </c>
      <c r="G10" s="25" t="str">
        <f aca="false">IFERROR(MAX(E10-(passivo_creditori!C8+passivo_creditori!C9+passivo_creditori!C10+passivo_creditori!C11),0)/(passivo_creditori!C12),"n.d.")</f>
        <v>n.d.</v>
      </c>
    </row>
    <row r="11" customFormat="false" ht="15" hidden="false" customHeight="false" outlineLevel="0" collapsed="false">
      <c r="B11" s="11" t="s">
        <v>221</v>
      </c>
      <c r="C11" s="17" t="n">
        <v>0</v>
      </c>
      <c r="D11" s="17" t="n">
        <v>0</v>
      </c>
      <c r="E11" s="23" t="n">
        <f aca="false">C11-D11</f>
        <v>0</v>
      </c>
      <c r="F11" s="25" t="str">
        <f aca="false">IFERROR(MIN(E11,(passivo_creditori!C8+passivo_creditori!C9+passivo_creditori!C10+passivo_creditori!C11))/(passivo_creditori!C8+passivo_creditori!C9+passivo_creditori!C10+passivo_creditori!C11),"n.d.")</f>
        <v>n.d.</v>
      </c>
      <c r="G11" s="25" t="str">
        <f aca="false">IFERROR(MAX(E11-(passivo_creditori!C8+passivo_creditori!C9+passivo_creditori!C10+passivo_creditori!C11),0)/(passivo_creditori!C12),"n.d.")</f>
        <v>n.d.</v>
      </c>
    </row>
    <row r="13" customFormat="false" ht="32.8" hidden="false" customHeight="true" outlineLevel="0" collapsed="false">
      <c r="B13" s="15" t="s">
        <v>222</v>
      </c>
      <c r="C13" s="15"/>
      <c r="D13" s="15"/>
      <c r="E13" s="15"/>
      <c r="F13" s="15"/>
      <c r="G13" s="15"/>
    </row>
    <row r="15" customFormat="false" ht="18" hidden="false" customHeight="true" outlineLevel="0" collapsed="false">
      <c r="B15" s="3" t="s">
        <v>223</v>
      </c>
      <c r="C15" s="3"/>
      <c r="D15" s="3"/>
      <c r="E15" s="3"/>
      <c r="F15" s="3"/>
      <c r="G15" s="3"/>
    </row>
    <row r="16" customFormat="false" ht="15" hidden="false" customHeight="false" outlineLevel="0" collapsed="false">
      <c r="B16" s="4" t="s">
        <v>224</v>
      </c>
      <c r="C16" s="16" t="s">
        <v>218</v>
      </c>
    </row>
    <row r="17" customFormat="false" ht="15" hidden="false" customHeight="false" outlineLevel="0" collapsed="false">
      <c r="B17" s="4" t="s">
        <v>225</v>
      </c>
      <c r="C17" s="23" t="n">
        <f aca="false">INDEX(E8:E11,MATCH(C16,B8:B11,0))</f>
        <v>0</v>
      </c>
    </row>
    <row r="19" customFormat="false" ht="30" hidden="false" customHeight="true" outlineLevel="0" collapsed="false">
      <c r="B19" s="21" t="s">
        <v>200</v>
      </c>
      <c r="C19" s="21" t="s">
        <v>226</v>
      </c>
      <c r="D19" s="21" t="s">
        <v>227</v>
      </c>
      <c r="E19" s="21" t="s">
        <v>228</v>
      </c>
      <c r="F19" s="21" t="s">
        <v>229</v>
      </c>
    </row>
    <row r="20" customFormat="false" ht="15" hidden="false" customHeight="false" outlineLevel="0" collapsed="false">
      <c r="B20" s="11" t="s">
        <v>20</v>
      </c>
      <c r="C20" s="24" t="n">
        <f aca="false">passivo_creditori!C8</f>
        <v>0</v>
      </c>
      <c r="D20" s="24" t="n">
        <f aca="false">C17</f>
        <v>0</v>
      </c>
      <c r="E20" s="23" t="n">
        <f aca="false">MIN(C20,D20)</f>
        <v>0</v>
      </c>
      <c r="F20" s="25" t="str">
        <f aca="false">IFERROR(E20/C20,"n.d.")</f>
        <v>n.d.</v>
      </c>
    </row>
    <row r="21" customFormat="false" ht="15" hidden="false" customHeight="false" outlineLevel="0" collapsed="false">
      <c r="B21" s="11" t="s">
        <v>22</v>
      </c>
      <c r="C21" s="24" t="n">
        <f aca="false">passivo_creditori!C9</f>
        <v>0</v>
      </c>
      <c r="D21" s="24" t="n">
        <f aca="false">MAX(D20-E20,0)</f>
        <v>0</v>
      </c>
      <c r="E21" s="23" t="n">
        <f aca="false">MIN(C21,D21)</f>
        <v>0</v>
      </c>
      <c r="F21" s="25" t="str">
        <f aca="false">IFERROR(E21/C21,"n.d.")</f>
        <v>n.d.</v>
      </c>
    </row>
    <row r="22" customFormat="false" ht="15" hidden="false" customHeight="false" outlineLevel="0" collapsed="false">
      <c r="B22" s="11" t="s">
        <v>24</v>
      </c>
      <c r="C22" s="24" t="n">
        <f aca="false">passivo_creditori!C10</f>
        <v>0</v>
      </c>
      <c r="D22" s="24" t="n">
        <f aca="false">MAX(D21-E21,0)</f>
        <v>0</v>
      </c>
      <c r="E22" s="23" t="n">
        <f aca="false">MIN(C22,D22)</f>
        <v>0</v>
      </c>
      <c r="F22" s="25" t="str">
        <f aca="false">IFERROR(E22/C22,"n.d.")</f>
        <v>n.d.</v>
      </c>
    </row>
    <row r="23" customFormat="false" ht="15" hidden="false" customHeight="false" outlineLevel="0" collapsed="false">
      <c r="B23" s="11" t="s">
        <v>26</v>
      </c>
      <c r="C23" s="24" t="n">
        <f aca="false">passivo_creditori!C11</f>
        <v>0</v>
      </c>
      <c r="D23" s="24" t="n">
        <f aca="false">MAX(D22-E22,0)</f>
        <v>0</v>
      </c>
      <c r="E23" s="23" t="n">
        <f aca="false">MIN(C23,D23)</f>
        <v>0</v>
      </c>
      <c r="F23" s="25" t="str">
        <f aca="false">IFERROR(E23/C23,"n.d.")</f>
        <v>n.d.</v>
      </c>
    </row>
    <row r="24" customFormat="false" ht="15" hidden="false" customHeight="false" outlineLevel="0" collapsed="false">
      <c r="B24" s="11" t="s">
        <v>28</v>
      </c>
      <c r="C24" s="24" t="n">
        <f aca="false">passivo_creditori!C12</f>
        <v>0</v>
      </c>
      <c r="D24" s="24" t="n">
        <f aca="false">MAX(D23-E23,0)</f>
        <v>0</v>
      </c>
      <c r="E24" s="23" t="n">
        <f aca="false">MIN(C24,D24)</f>
        <v>0</v>
      </c>
      <c r="F24" s="25" t="str">
        <f aca="false">IFERROR(E24/C24,"n.d.")</f>
        <v>n.d.</v>
      </c>
    </row>
    <row r="25" customFormat="false" ht="15" hidden="false" customHeight="false" outlineLevel="0" collapsed="false">
      <c r="B25" s="4" t="s">
        <v>230</v>
      </c>
      <c r="C25" s="22" t="n">
        <f aca="false">SUM(C20:C24)</f>
        <v>0</v>
      </c>
      <c r="E25" s="22" t="n">
        <f aca="false">SUM(E20:E24)</f>
        <v>0</v>
      </c>
    </row>
    <row r="26" customFormat="false" ht="15" hidden="false" customHeight="false" outlineLevel="0" collapsed="false">
      <c r="B26" s="4" t="s">
        <v>231</v>
      </c>
      <c r="C26" s="24" t="n">
        <f aca="false">MAX(D24-E24,0)</f>
        <v>0</v>
      </c>
    </row>
    <row r="28" customFormat="false" ht="32.8" hidden="false" customHeight="true" outlineLevel="0" collapsed="false">
      <c r="B28" s="15" t="s">
        <v>232</v>
      </c>
      <c r="C28" s="15"/>
      <c r="D28" s="15"/>
      <c r="E28" s="15"/>
      <c r="F28" s="15"/>
      <c r="G28" s="15"/>
    </row>
  </sheetData>
  <mergeCells count="6">
    <mergeCell ref="B2:G2"/>
    <mergeCell ref="B3:G3"/>
    <mergeCell ref="B6:G6"/>
    <mergeCell ref="B13:G13"/>
    <mergeCell ref="B15:G15"/>
    <mergeCell ref="B28:G28"/>
  </mergeCells>
  <dataValidations count="1">
    <dataValidation allowBlank="true" errorStyle="stop" operator="between" showDropDown="false" showErrorMessage="false" showInputMessage="false" sqref="C16" type="list">
      <formula1>"Liquidazione giudiziale (baseline),Concordato preventivo liquidatorio,Concordato preventivo in continuita',Piano attestato / Accordo di ristrutturazione"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3"/>
  </cols>
  <sheetData>
    <row r="2" customFormat="false" ht="25.5" hidden="false" customHeight="true" outlineLevel="0" collapsed="false">
      <c r="B2" s="1" t="s">
        <v>233</v>
      </c>
      <c r="C2" s="1"/>
      <c r="D2" s="1"/>
      <c r="E2" s="1"/>
    </row>
    <row r="3" customFormat="false" ht="15.75" hidden="false" customHeight="true" outlineLevel="0" collapsed="false">
      <c r="B3" s="2" t="s">
        <v>234</v>
      </c>
      <c r="C3" s="2"/>
      <c r="D3" s="2"/>
      <c r="E3" s="2"/>
    </row>
    <row r="5" customFormat="false" ht="30" hidden="false" customHeight="true" outlineLevel="0" collapsed="false">
      <c r="B5" s="21" t="s">
        <v>235</v>
      </c>
      <c r="C5" s="21" t="s">
        <v>236</v>
      </c>
      <c r="D5" s="21" t="s">
        <v>237</v>
      </c>
      <c r="E5" s="21" t="s">
        <v>238</v>
      </c>
    </row>
    <row r="6" customFormat="false" ht="18" hidden="false" customHeight="true" outlineLevel="0" collapsed="false">
      <c r="B6" s="3" t="s">
        <v>239</v>
      </c>
      <c r="C6" s="3"/>
      <c r="D6" s="3"/>
      <c r="E6" s="3"/>
    </row>
    <row r="7" customFormat="false" ht="15" hidden="false" customHeight="false" outlineLevel="0" collapsed="false">
      <c r="B7" s="11" t="s">
        <v>240</v>
      </c>
      <c r="C7" s="16" t="s">
        <v>241</v>
      </c>
      <c r="D7" s="18"/>
      <c r="E7" s="16"/>
    </row>
    <row r="8" customFormat="false" ht="15" hidden="false" customHeight="false" outlineLevel="0" collapsed="false">
      <c r="B8" s="11" t="s">
        <v>242</v>
      </c>
      <c r="C8" s="16" t="s">
        <v>241</v>
      </c>
      <c r="D8" s="18"/>
      <c r="E8" s="16"/>
    </row>
    <row r="9" customFormat="false" ht="15" hidden="false" customHeight="false" outlineLevel="0" collapsed="false">
      <c r="B9" s="11" t="s">
        <v>243</v>
      </c>
      <c r="C9" s="16" t="s">
        <v>241</v>
      </c>
      <c r="D9" s="18"/>
      <c r="E9" s="16"/>
    </row>
    <row r="10" customFormat="false" ht="15" hidden="false" customHeight="false" outlineLevel="0" collapsed="false">
      <c r="B10" s="11" t="s">
        <v>244</v>
      </c>
      <c r="C10" s="16" t="s">
        <v>241</v>
      </c>
      <c r="D10" s="18"/>
      <c r="E10" s="16"/>
    </row>
    <row r="11" customFormat="false" ht="15" hidden="false" customHeight="false" outlineLevel="0" collapsed="false">
      <c r="B11" s="11" t="s">
        <v>245</v>
      </c>
      <c r="C11" s="16" t="s">
        <v>241</v>
      </c>
      <c r="D11" s="18"/>
      <c r="E11" s="16"/>
    </row>
    <row r="13" customFormat="false" ht="18" hidden="false" customHeight="true" outlineLevel="0" collapsed="false">
      <c r="B13" s="3" t="s">
        <v>246</v>
      </c>
      <c r="C13" s="3"/>
      <c r="D13" s="3"/>
      <c r="E13" s="3"/>
    </row>
    <row r="14" customFormat="false" ht="15" hidden="false" customHeight="false" outlineLevel="0" collapsed="false">
      <c r="B14" s="11" t="s">
        <v>247</v>
      </c>
      <c r="C14" s="16" t="s">
        <v>241</v>
      </c>
      <c r="D14" s="18"/>
      <c r="E14" s="16"/>
    </row>
    <row r="15" customFormat="false" ht="15" hidden="false" customHeight="false" outlineLevel="0" collapsed="false">
      <c r="B15" s="11" t="s">
        <v>248</v>
      </c>
      <c r="C15" s="16" t="s">
        <v>241</v>
      </c>
      <c r="D15" s="18"/>
      <c r="E15" s="16"/>
    </row>
    <row r="16" customFormat="false" ht="15" hidden="false" customHeight="false" outlineLevel="0" collapsed="false">
      <c r="B16" s="11" t="s">
        <v>249</v>
      </c>
      <c r="C16" s="16" t="s">
        <v>241</v>
      </c>
      <c r="D16" s="18"/>
      <c r="E16" s="16"/>
    </row>
    <row r="17" customFormat="false" ht="15" hidden="false" customHeight="false" outlineLevel="0" collapsed="false">
      <c r="B17" s="11" t="s">
        <v>250</v>
      </c>
      <c r="C17" s="16" t="s">
        <v>241</v>
      </c>
      <c r="D17" s="18"/>
      <c r="E17" s="16"/>
    </row>
    <row r="18" customFormat="false" ht="15" hidden="false" customHeight="false" outlineLevel="0" collapsed="false">
      <c r="B18" s="11" t="s">
        <v>251</v>
      </c>
      <c r="C18" s="16" t="s">
        <v>241</v>
      </c>
      <c r="D18" s="18"/>
      <c r="E18" s="16"/>
    </row>
    <row r="20" customFormat="false" ht="18" hidden="false" customHeight="true" outlineLevel="0" collapsed="false">
      <c r="B20" s="3" t="s">
        <v>252</v>
      </c>
      <c r="C20" s="3"/>
      <c r="D20" s="3"/>
      <c r="E20" s="3"/>
    </row>
    <row r="21" customFormat="false" ht="15" hidden="false" customHeight="false" outlineLevel="0" collapsed="false">
      <c r="B21" s="11" t="s">
        <v>253</v>
      </c>
      <c r="C21" s="16" t="s">
        <v>241</v>
      </c>
      <c r="D21" s="18"/>
      <c r="E21" s="16"/>
    </row>
    <row r="22" customFormat="false" ht="15" hidden="false" customHeight="false" outlineLevel="0" collapsed="false">
      <c r="B22" s="11" t="s">
        <v>254</v>
      </c>
      <c r="C22" s="16" t="s">
        <v>241</v>
      </c>
      <c r="D22" s="18"/>
      <c r="E22" s="16"/>
    </row>
    <row r="23" customFormat="false" ht="15" hidden="false" customHeight="false" outlineLevel="0" collapsed="false">
      <c r="B23" s="11" t="s">
        <v>255</v>
      </c>
      <c r="C23" s="16" t="s">
        <v>241</v>
      </c>
      <c r="D23" s="18"/>
      <c r="E23" s="16"/>
    </row>
    <row r="24" customFormat="false" ht="15" hidden="false" customHeight="false" outlineLevel="0" collapsed="false">
      <c r="B24" s="11" t="s">
        <v>256</v>
      </c>
      <c r="C24" s="16" t="s">
        <v>241</v>
      </c>
      <c r="D24" s="18"/>
      <c r="E24" s="16"/>
    </row>
    <row r="25" customFormat="false" ht="15" hidden="false" customHeight="false" outlineLevel="0" collapsed="false">
      <c r="B25" s="11" t="s">
        <v>257</v>
      </c>
      <c r="C25" s="16" t="s">
        <v>241</v>
      </c>
      <c r="D25" s="18"/>
      <c r="E25" s="16"/>
    </row>
    <row r="27" customFormat="false" ht="18" hidden="false" customHeight="true" outlineLevel="0" collapsed="false">
      <c r="B27" s="3" t="s">
        <v>258</v>
      </c>
      <c r="C27" s="3"/>
      <c r="D27" s="3"/>
      <c r="E27" s="3"/>
    </row>
    <row r="28" customFormat="false" ht="15" hidden="false" customHeight="false" outlineLevel="0" collapsed="false">
      <c r="B28" s="11" t="s">
        <v>259</v>
      </c>
      <c r="C28" s="16" t="s">
        <v>241</v>
      </c>
      <c r="D28" s="18"/>
      <c r="E28" s="16"/>
    </row>
    <row r="29" customFormat="false" ht="15" hidden="false" customHeight="false" outlineLevel="0" collapsed="false">
      <c r="B29" s="11" t="s">
        <v>260</v>
      </c>
      <c r="C29" s="16" t="s">
        <v>241</v>
      </c>
      <c r="D29" s="18"/>
      <c r="E29" s="16"/>
    </row>
    <row r="30" customFormat="false" ht="15" hidden="false" customHeight="false" outlineLevel="0" collapsed="false">
      <c r="B30" s="11" t="s">
        <v>261</v>
      </c>
      <c r="C30" s="16" t="s">
        <v>241</v>
      </c>
      <c r="D30" s="18"/>
      <c r="E30" s="16"/>
    </row>
    <row r="31" customFormat="false" ht="15" hidden="false" customHeight="false" outlineLevel="0" collapsed="false">
      <c r="B31" s="11" t="s">
        <v>262</v>
      </c>
      <c r="C31" s="16" t="s">
        <v>241</v>
      </c>
      <c r="D31" s="18"/>
      <c r="E31" s="16"/>
    </row>
    <row r="32" customFormat="false" ht="15" hidden="false" customHeight="false" outlineLevel="0" collapsed="false">
      <c r="B32" s="11" t="s">
        <v>263</v>
      </c>
      <c r="C32" s="16" t="s">
        <v>241</v>
      </c>
      <c r="D32" s="18"/>
      <c r="E32" s="16"/>
    </row>
    <row r="34" customFormat="false" ht="18" hidden="false" customHeight="true" outlineLevel="0" collapsed="false">
      <c r="B34" s="3" t="s">
        <v>264</v>
      </c>
      <c r="C34" s="3"/>
      <c r="D34" s="3"/>
      <c r="E34" s="3"/>
    </row>
    <row r="35" customFormat="false" ht="15" hidden="false" customHeight="false" outlineLevel="0" collapsed="false">
      <c r="B35" s="11" t="s">
        <v>265</v>
      </c>
      <c r="C35" s="16" t="s">
        <v>241</v>
      </c>
      <c r="D35" s="18"/>
      <c r="E35" s="16"/>
    </row>
    <row r="36" customFormat="false" ht="15" hidden="false" customHeight="false" outlineLevel="0" collapsed="false">
      <c r="B36" s="11" t="s">
        <v>266</v>
      </c>
      <c r="C36" s="16" t="s">
        <v>241</v>
      </c>
      <c r="D36" s="18"/>
      <c r="E36" s="16"/>
    </row>
    <row r="37" customFormat="false" ht="15" hidden="false" customHeight="false" outlineLevel="0" collapsed="false">
      <c r="B37" s="11" t="s">
        <v>267</v>
      </c>
      <c r="C37" s="16" t="s">
        <v>241</v>
      </c>
      <c r="D37" s="18"/>
      <c r="E37" s="16"/>
    </row>
    <row r="38" customFormat="false" ht="15" hidden="false" customHeight="false" outlineLevel="0" collapsed="false">
      <c r="B38" s="11" t="s">
        <v>268</v>
      </c>
      <c r="C38" s="16" t="s">
        <v>241</v>
      </c>
      <c r="D38" s="18"/>
      <c r="E38" s="16"/>
    </row>
    <row r="40" customFormat="false" ht="18" hidden="false" customHeight="true" outlineLevel="0" collapsed="false">
      <c r="B40" s="3" t="s">
        <v>269</v>
      </c>
      <c r="C40" s="3"/>
      <c r="D40" s="3"/>
      <c r="E40" s="3"/>
    </row>
    <row r="41" customFormat="false" ht="15" hidden="false" customHeight="false" outlineLevel="0" collapsed="false">
      <c r="B41" s="11" t="s">
        <v>270</v>
      </c>
      <c r="C41" s="16" t="s">
        <v>241</v>
      </c>
      <c r="D41" s="18"/>
      <c r="E41" s="16"/>
    </row>
    <row r="42" customFormat="false" ht="15" hidden="false" customHeight="false" outlineLevel="0" collapsed="false">
      <c r="B42" s="11" t="s">
        <v>271</v>
      </c>
      <c r="C42" s="16" t="s">
        <v>241</v>
      </c>
      <c r="D42" s="18"/>
      <c r="E42" s="16"/>
    </row>
    <row r="43" customFormat="false" ht="15" hidden="false" customHeight="false" outlineLevel="0" collapsed="false">
      <c r="B43" s="11" t="s">
        <v>272</v>
      </c>
      <c r="C43" s="16" t="s">
        <v>241</v>
      </c>
      <c r="D43" s="18"/>
      <c r="E43" s="16"/>
    </row>
    <row r="44" customFormat="false" ht="15" hidden="false" customHeight="false" outlineLevel="0" collapsed="false">
      <c r="B44" s="11" t="s">
        <v>273</v>
      </c>
      <c r="C44" s="16" t="s">
        <v>241</v>
      </c>
      <c r="D44" s="18"/>
      <c r="E44" s="16"/>
    </row>
    <row r="45" customFormat="false" ht="15" hidden="false" customHeight="false" outlineLevel="0" collapsed="false">
      <c r="B45" s="11" t="s">
        <v>274</v>
      </c>
      <c r="C45" s="16" t="s">
        <v>241</v>
      </c>
      <c r="D45" s="18"/>
      <c r="E45" s="16"/>
    </row>
    <row r="47" customFormat="false" ht="15" hidden="false" customHeight="true" outlineLevel="0" collapsed="false">
      <c r="B47" s="15" t="s">
        <v>275</v>
      </c>
      <c r="C47" s="15"/>
      <c r="D47" s="15"/>
      <c r="E47" s="15"/>
    </row>
  </sheetData>
  <mergeCells count="9">
    <mergeCell ref="B2:E2"/>
    <mergeCell ref="B3:E3"/>
    <mergeCell ref="B6:E6"/>
    <mergeCell ref="B13:E13"/>
    <mergeCell ref="B20:E20"/>
    <mergeCell ref="B27:E27"/>
    <mergeCell ref="B34:E34"/>
    <mergeCell ref="B40:E40"/>
    <mergeCell ref="B47:E47"/>
  </mergeCells>
  <conditionalFormatting sqref="C7">
    <cfRule type="expression" priority="2" aboveAverage="0" equalAverage="0" bottom="0" percent="0" rank="0" text="" dxfId="1">
      <formula>C7="Ricevuto"</formula>
    </cfRule>
    <cfRule type="expression" priority="3" aboveAverage="0" equalAverage="0" bottom="0" percent="0" rank="0" text="" dxfId="0">
      <formula>C7="Non reperibile"</formula>
    </cfRule>
  </conditionalFormatting>
  <conditionalFormatting sqref="C8">
    <cfRule type="expression" priority="4" aboveAverage="0" equalAverage="0" bottom="0" percent="0" rank="0" text="" dxfId="1">
      <formula>C8="Ricevuto"</formula>
    </cfRule>
    <cfRule type="expression" priority="5" aboveAverage="0" equalAverage="0" bottom="0" percent="0" rank="0" text="" dxfId="0">
      <formula>C8="Non reperibile"</formula>
    </cfRule>
  </conditionalFormatting>
  <conditionalFormatting sqref="C9">
    <cfRule type="expression" priority="6" aboveAverage="0" equalAverage="0" bottom="0" percent="0" rank="0" text="" dxfId="1">
      <formula>C9="Ricevuto"</formula>
    </cfRule>
    <cfRule type="expression" priority="7" aboveAverage="0" equalAverage="0" bottom="0" percent="0" rank="0" text="" dxfId="0">
      <formula>C9="Non reperibile"</formula>
    </cfRule>
  </conditionalFormatting>
  <conditionalFormatting sqref="C10">
    <cfRule type="expression" priority="8" aboveAverage="0" equalAverage="0" bottom="0" percent="0" rank="0" text="" dxfId="1">
      <formula>C10="Ricevuto"</formula>
    </cfRule>
    <cfRule type="expression" priority="9" aboveAverage="0" equalAverage="0" bottom="0" percent="0" rank="0" text="" dxfId="0">
      <formula>C10="Non reperibile"</formula>
    </cfRule>
  </conditionalFormatting>
  <conditionalFormatting sqref="C11">
    <cfRule type="expression" priority="10" aboveAverage="0" equalAverage="0" bottom="0" percent="0" rank="0" text="" dxfId="1">
      <formula>C11="Ricevuto"</formula>
    </cfRule>
    <cfRule type="expression" priority="11" aboveAverage="0" equalAverage="0" bottom="0" percent="0" rank="0" text="" dxfId="0">
      <formula>C11="Non reperibile"</formula>
    </cfRule>
  </conditionalFormatting>
  <conditionalFormatting sqref="C14">
    <cfRule type="expression" priority="12" aboveAverage="0" equalAverage="0" bottom="0" percent="0" rank="0" text="" dxfId="1">
      <formula>C14="Ricevuto"</formula>
    </cfRule>
    <cfRule type="expression" priority="13" aboveAverage="0" equalAverage="0" bottom="0" percent="0" rank="0" text="" dxfId="0">
      <formula>C14="Non reperibile"</formula>
    </cfRule>
  </conditionalFormatting>
  <conditionalFormatting sqref="C15">
    <cfRule type="expression" priority="14" aboveAverage="0" equalAverage="0" bottom="0" percent="0" rank="0" text="" dxfId="1">
      <formula>C15="Ricevuto"</formula>
    </cfRule>
    <cfRule type="expression" priority="15" aboveAverage="0" equalAverage="0" bottom="0" percent="0" rank="0" text="" dxfId="0">
      <formula>C15="Non reperibile"</formula>
    </cfRule>
  </conditionalFormatting>
  <conditionalFormatting sqref="C16">
    <cfRule type="expression" priority="16" aboveAverage="0" equalAverage="0" bottom="0" percent="0" rank="0" text="" dxfId="1">
      <formula>C16="Ricevuto"</formula>
    </cfRule>
    <cfRule type="expression" priority="17" aboveAverage="0" equalAverage="0" bottom="0" percent="0" rank="0" text="" dxfId="0">
      <formula>C16="Non reperibile"</formula>
    </cfRule>
  </conditionalFormatting>
  <conditionalFormatting sqref="C17">
    <cfRule type="expression" priority="18" aboveAverage="0" equalAverage="0" bottom="0" percent="0" rank="0" text="" dxfId="1">
      <formula>C17="Ricevuto"</formula>
    </cfRule>
    <cfRule type="expression" priority="19" aboveAverage="0" equalAverage="0" bottom="0" percent="0" rank="0" text="" dxfId="0">
      <formula>C17="Non reperibile"</formula>
    </cfRule>
  </conditionalFormatting>
  <conditionalFormatting sqref="C18">
    <cfRule type="expression" priority="20" aboveAverage="0" equalAverage="0" bottom="0" percent="0" rank="0" text="" dxfId="1">
      <formula>C18="Ricevuto"</formula>
    </cfRule>
    <cfRule type="expression" priority="21" aboveAverage="0" equalAverage="0" bottom="0" percent="0" rank="0" text="" dxfId="0">
      <formula>C18="Non reperibile"</formula>
    </cfRule>
  </conditionalFormatting>
  <conditionalFormatting sqref="C21">
    <cfRule type="expression" priority="22" aboveAverage="0" equalAverage="0" bottom="0" percent="0" rank="0" text="" dxfId="1">
      <formula>C21="Ricevuto"</formula>
    </cfRule>
    <cfRule type="expression" priority="23" aboveAverage="0" equalAverage="0" bottom="0" percent="0" rank="0" text="" dxfId="0">
      <formula>C21="Non reperibile"</formula>
    </cfRule>
  </conditionalFormatting>
  <conditionalFormatting sqref="C22">
    <cfRule type="expression" priority="24" aboveAverage="0" equalAverage="0" bottom="0" percent="0" rank="0" text="" dxfId="1">
      <formula>C22="Ricevuto"</formula>
    </cfRule>
    <cfRule type="expression" priority="25" aboveAverage="0" equalAverage="0" bottom="0" percent="0" rank="0" text="" dxfId="0">
      <formula>C22="Non reperibile"</formula>
    </cfRule>
  </conditionalFormatting>
  <conditionalFormatting sqref="C23">
    <cfRule type="expression" priority="26" aboveAverage="0" equalAverage="0" bottom="0" percent="0" rank="0" text="" dxfId="1">
      <formula>C23="Ricevuto"</formula>
    </cfRule>
    <cfRule type="expression" priority="27" aboveAverage="0" equalAverage="0" bottom="0" percent="0" rank="0" text="" dxfId="0">
      <formula>C23="Non reperibile"</formula>
    </cfRule>
  </conditionalFormatting>
  <conditionalFormatting sqref="C24">
    <cfRule type="expression" priority="28" aboveAverage="0" equalAverage="0" bottom="0" percent="0" rank="0" text="" dxfId="1">
      <formula>C24="Ricevuto"</formula>
    </cfRule>
    <cfRule type="expression" priority="29" aboveAverage="0" equalAverage="0" bottom="0" percent="0" rank="0" text="" dxfId="0">
      <formula>C24="Non reperibile"</formula>
    </cfRule>
  </conditionalFormatting>
  <conditionalFormatting sqref="C25">
    <cfRule type="expression" priority="30" aboveAverage="0" equalAverage="0" bottom="0" percent="0" rank="0" text="" dxfId="1">
      <formula>C25="Ricevuto"</formula>
    </cfRule>
    <cfRule type="expression" priority="31" aboveAverage="0" equalAverage="0" bottom="0" percent="0" rank="0" text="" dxfId="0">
      <formula>C25="Non reperibile"</formula>
    </cfRule>
  </conditionalFormatting>
  <conditionalFormatting sqref="C28">
    <cfRule type="expression" priority="32" aboveAverage="0" equalAverage="0" bottom="0" percent="0" rank="0" text="" dxfId="1">
      <formula>C28="Ricevuto"</formula>
    </cfRule>
    <cfRule type="expression" priority="33" aboveAverage="0" equalAverage="0" bottom="0" percent="0" rank="0" text="" dxfId="0">
      <formula>C28="Non reperibile"</formula>
    </cfRule>
  </conditionalFormatting>
  <conditionalFormatting sqref="C29">
    <cfRule type="expression" priority="34" aboveAverage="0" equalAverage="0" bottom="0" percent="0" rank="0" text="" dxfId="1">
      <formula>C29="Ricevuto"</formula>
    </cfRule>
    <cfRule type="expression" priority="35" aboveAverage="0" equalAverage="0" bottom="0" percent="0" rank="0" text="" dxfId="0">
      <formula>C29="Non reperibile"</formula>
    </cfRule>
  </conditionalFormatting>
  <conditionalFormatting sqref="C30">
    <cfRule type="expression" priority="36" aboveAverage="0" equalAverage="0" bottom="0" percent="0" rank="0" text="" dxfId="1">
      <formula>C30="Ricevuto"</formula>
    </cfRule>
    <cfRule type="expression" priority="37" aboveAverage="0" equalAverage="0" bottom="0" percent="0" rank="0" text="" dxfId="0">
      <formula>C30="Non reperibile"</formula>
    </cfRule>
  </conditionalFormatting>
  <conditionalFormatting sqref="C31">
    <cfRule type="expression" priority="38" aboveAverage="0" equalAverage="0" bottom="0" percent="0" rank="0" text="" dxfId="1">
      <formula>C31="Ricevuto"</formula>
    </cfRule>
    <cfRule type="expression" priority="39" aboveAverage="0" equalAverage="0" bottom="0" percent="0" rank="0" text="" dxfId="0">
      <formula>C31="Non reperibile"</formula>
    </cfRule>
  </conditionalFormatting>
  <conditionalFormatting sqref="C32">
    <cfRule type="expression" priority="40" aboveAverage="0" equalAverage="0" bottom="0" percent="0" rank="0" text="" dxfId="1">
      <formula>C32="Ricevuto"</formula>
    </cfRule>
    <cfRule type="expression" priority="41" aboveAverage="0" equalAverage="0" bottom="0" percent="0" rank="0" text="" dxfId="0">
      <formula>C32="Non reperibile"</formula>
    </cfRule>
  </conditionalFormatting>
  <conditionalFormatting sqref="C35">
    <cfRule type="expression" priority="42" aboveAverage="0" equalAverage="0" bottom="0" percent="0" rank="0" text="" dxfId="1">
      <formula>C35="Ricevuto"</formula>
    </cfRule>
    <cfRule type="expression" priority="43" aboveAverage="0" equalAverage="0" bottom="0" percent="0" rank="0" text="" dxfId="0">
      <formula>C35="Non reperibile"</formula>
    </cfRule>
  </conditionalFormatting>
  <conditionalFormatting sqref="C36">
    <cfRule type="expression" priority="44" aboveAverage="0" equalAverage="0" bottom="0" percent="0" rank="0" text="" dxfId="1">
      <formula>C36="Ricevuto"</formula>
    </cfRule>
    <cfRule type="expression" priority="45" aboveAverage="0" equalAverage="0" bottom="0" percent="0" rank="0" text="" dxfId="0">
      <formula>C36="Non reperibile"</formula>
    </cfRule>
  </conditionalFormatting>
  <conditionalFormatting sqref="C37">
    <cfRule type="expression" priority="46" aboveAverage="0" equalAverage="0" bottom="0" percent="0" rank="0" text="" dxfId="1">
      <formula>C37="Ricevuto"</formula>
    </cfRule>
    <cfRule type="expression" priority="47" aboveAverage="0" equalAverage="0" bottom="0" percent="0" rank="0" text="" dxfId="0">
      <formula>C37="Non reperibile"</formula>
    </cfRule>
  </conditionalFormatting>
  <conditionalFormatting sqref="C38">
    <cfRule type="expression" priority="48" aboveAverage="0" equalAverage="0" bottom="0" percent="0" rank="0" text="" dxfId="1">
      <formula>C38="Ricevuto"</formula>
    </cfRule>
    <cfRule type="expression" priority="49" aboveAverage="0" equalAverage="0" bottom="0" percent="0" rank="0" text="" dxfId="0">
      <formula>C38="Non reperibile"</formula>
    </cfRule>
  </conditionalFormatting>
  <conditionalFormatting sqref="C41">
    <cfRule type="expression" priority="50" aboveAverage="0" equalAverage="0" bottom="0" percent="0" rank="0" text="" dxfId="1">
      <formula>C41="Ricevuto"</formula>
    </cfRule>
    <cfRule type="expression" priority="51" aboveAverage="0" equalAverage="0" bottom="0" percent="0" rank="0" text="" dxfId="0">
      <formula>C41="Non reperibile"</formula>
    </cfRule>
  </conditionalFormatting>
  <conditionalFormatting sqref="C42">
    <cfRule type="expression" priority="52" aboveAverage="0" equalAverage="0" bottom="0" percent="0" rank="0" text="" dxfId="1">
      <formula>C42="Ricevuto"</formula>
    </cfRule>
    <cfRule type="expression" priority="53" aboveAverage="0" equalAverage="0" bottom="0" percent="0" rank="0" text="" dxfId="0">
      <formula>C42="Non reperibile"</formula>
    </cfRule>
  </conditionalFormatting>
  <conditionalFormatting sqref="C43">
    <cfRule type="expression" priority="54" aboveAverage="0" equalAverage="0" bottom="0" percent="0" rank="0" text="" dxfId="1">
      <formula>C43="Ricevuto"</formula>
    </cfRule>
    <cfRule type="expression" priority="55" aboveAverage="0" equalAverage="0" bottom="0" percent="0" rank="0" text="" dxfId="0">
      <formula>C43="Non reperibile"</formula>
    </cfRule>
  </conditionalFormatting>
  <conditionalFormatting sqref="C44">
    <cfRule type="expression" priority="56" aboveAverage="0" equalAverage="0" bottom="0" percent="0" rank="0" text="" dxfId="1">
      <formula>C44="Ricevuto"</formula>
    </cfRule>
    <cfRule type="expression" priority="57" aboveAverage="0" equalAverage="0" bottom="0" percent="0" rank="0" text="" dxfId="0">
      <formula>C44="Non reperibile"</formula>
    </cfRule>
  </conditionalFormatting>
  <conditionalFormatting sqref="C45">
    <cfRule type="expression" priority="58" aboveAverage="0" equalAverage="0" bottom="0" percent="0" rank="0" text="" dxfId="1">
      <formula>C45="Ricevuto"</formula>
    </cfRule>
    <cfRule type="expression" priority="59" aboveAverage="0" equalAverage="0" bottom="0" percent="0" rank="0" text="" dxfId="0">
      <formula>C45="Non reperibile"</formula>
    </cfRule>
  </conditionalFormatting>
  <dataValidations count="29">
    <dataValidation allowBlank="true" errorStyle="stop" operator="between" showDropDown="false" showErrorMessage="false" showInputMessage="false" sqref="C7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8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9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10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11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14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15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16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17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18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21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22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23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24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25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28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29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30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31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32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35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36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37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38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41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42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43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44" type="list">
      <formula1>"Da richiedere,Ricevuto,Non reperibile,Non pertinente"</formula1>
      <formula2>0</formula2>
    </dataValidation>
    <dataValidation allowBlank="true" errorStyle="stop" operator="between" showDropDown="false" showErrorMessage="false" showInputMessage="false" sqref="C45" type="list">
      <formula1>"Da richiedere,Ricevuto,Non reperibile,Non pertinente"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2026-09-18T08:36:59Z</dcterms:created>
  <dc:creator>openpyxl</dc:creator>
  <dc:description/>
  <dc:language>en-US</dc:language>
  <cp:lastModifiedBy/>
  <dcterms:modified xsi:type="dcterms:W3CDTF">2026-09-18T08:36:59Z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