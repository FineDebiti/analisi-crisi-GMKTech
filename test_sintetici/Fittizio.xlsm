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/>
  <workbookPr codeName="ThisWorkbook"/>
  <workbookProtection workbookPassword="CC1A" lockStructure="1"/>
  <bookViews>
    <workbookView/>
  </bookViews>
  <sheets>
    <sheet name="dashboard" sheetId="1" r:id="rId1"/>
    <sheet name="anagrafica" sheetId="2" r:id="rId2"/>
    <sheet name="flussi_cassa_impresa" sheetId="3" r:id="rId3"/>
    <sheet name="passivo" sheetId="4" r:id="rId4"/>
    <sheet name="impostazioni" sheetId="5" state="hidden" r:id="rId5"/>
    <sheet name="_licenza" sheetId="6" state="veryHidden" r:id="rId6"/>
  </sheets>
  <definedNames>
    <definedName name="AnnoBase">impostazioni!$B$2</definedName>
  </definedNames>
  <calcPr calcId="191029"/>
</workbook>
</file>

<file path=xl/sharedStrings.xml><?xml version="1.0" encoding="utf-8"?>
<sst xmlns="http://schemas.openxmlformats.org/spreadsheetml/2006/main" count="53" uniqueCount="53">
  <si>
    <t>Cruscotto fittizio</t>
  </si>
  <si>
    <t>solo per test</t>
  </si>
  <si>
    <t>Denominazione</t>
  </si>
  <si>
    <t>ALFA FITTIZIA S.R.L.</t>
  </si>
  <si>
    <t>Codice fiscale</t>
  </si>
  <si>
    <t>00000000000</t>
  </si>
  <si>
    <t>Voce</t>
  </si>
  <si>
    <t>Anno -2</t>
  </si>
  <si>
    <t>Anno -1</t>
  </si>
  <si>
    <t>Previsionale</t>
  </si>
  <si>
    <t>Ricavi netti</t>
  </si>
  <si>
    <t>Variazione rimanenze</t>
  </si>
  <si>
    <t>Altri ricavi operativi</t>
  </si>
  <si>
    <t>Valore della produzione</t>
  </si>
  <si>
    <t>Materie prime</t>
  </si>
  <si>
    <t>Servizi</t>
  </si>
  <si>
    <t>Personale</t>
  </si>
  <si>
    <t>Altri costi operativi</t>
  </si>
  <si>
    <t>Totale costi operativi</t>
  </si>
  <si>
    <t>Ammortamenti e svalutazioni</t>
  </si>
  <si>
    <t>Margine</t>
  </si>
  <si>
    <t>Oneri/proventi finanziari netti</t>
  </si>
  <si>
    <t>Risultato ante imposte</t>
  </si>
  <si>
    <t>Imposte</t>
  </si>
  <si>
    <t>Utile</t>
  </si>
  <si>
    <t>Variazione CCN</t>
  </si>
  <si>
    <t>Capex</t>
  </si>
  <si>
    <t>Rimborso debiti</t>
  </si>
  <si>
    <t>Flusso operativo</t>
  </si>
  <si>
    <t>Oneri finanziari netti di cassa</t>
  </si>
  <si>
    <t>Flusso netto</t>
  </si>
  <si>
    <t>Compensi/ricavi</t>
  </si>
  <si>
    <t>Costi</t>
  </si>
  <si>
    <t>Reddito</t>
  </si>
  <si>
    <t>Contributi previdenziali</t>
  </si>
  <si>
    <t>Reddito netto</t>
  </si>
  <si>
    <t>IRPEF netta</t>
  </si>
  <si>
    <t>Disponibile</t>
  </si>
  <si>
    <t>Ricavi</t>
  </si>
  <si>
    <t>Coefficiente</t>
  </si>
  <si>
    <t>Reddito forfetario</t>
  </si>
  <si>
    <t>Imposta sostitutiva</t>
  </si>
  <si>
    <t>Sintesi ordinario</t>
  </si>
  <si>
    <t>Sintesi semplificata</t>
  </si>
  <si>
    <t>Sintesi forfetario</t>
  </si>
  <si>
    <t>Creditore</t>
  </si>
  <si>
    <t>Importo</t>
  </si>
  <si>
    <t>Creditore fittizio</t>
  </si>
  <si>
    <t>Parametro</t>
  </si>
  <si>
    <t>Valore</t>
  </si>
  <si>
    <t>Anno base</t>
  </si>
  <si>
    <t>Licenza</t>
  </si>
  <si>
    <t>FITTIZIA-0000</t>
  </si>
</sst>
</file>

<file path=xl/styles.xml><?xml version="1.0" encoding="utf-8"?>
<styleSheet xmlns="http://schemas.openxmlformats.org/spreadsheetml/2006/main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3" fontId="0" fillId="0" borderId="0" xfId="0" applyNumberFormat="1" applyProtection="1">
      <protection locked="0"/>
    </xf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1"/>
  <sheetData>
    <row r="1">
      <c r="A1" t="s">
        <v>0</v>
      </c>
      <c r="B1" t="s">
        <v>1</v>
      </c>
    </row>
  </sheetData>
  <sheetProtection password="CC1A" sheet="1" objects="1" scenarios="1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2"/>
  <sheetData>
    <row r="1">
      <c r="A1" t="s">
        <v>2</v>
      </c>
      <c r="B1" t="s">
        <v>3</v>
      </c>
    </row>
    <row r="2">
      <c r="A2" t="s">
        <v>4</v>
      </c>
      <c r="B2" t="s">
        <v>5</v>
      </c>
    </row>
  </sheetData>
  <sheetProtection password="CC1A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3"/>
  <sheetData>
    <row r="8">
      <c r="B8" t="s">
        <v>6</v>
      </c>
      <c r="C8" t="s">
        <v>7</v>
      </c>
      <c r="D8" t="s">
        <v>8</v>
      </c>
      <c r="E8" t="s">
        <v>9</v>
      </c>
    </row>
    <row r="10">
      <c r="B10" t="s">
        <v>10</v>
      </c>
      <c r="C10" s="1"/>
      <c r="D10" s="1"/>
      <c r="E10" s="1">
        <v>123456</v>
      </c>
    </row>
    <row r="11">
      <c r="B11" t="s">
        <v>11</v>
      </c>
      <c r="C11" s="1"/>
      <c r="D11" s="1"/>
      <c r="E11" s="1"/>
    </row>
    <row r="12">
      <c r="B12" t="s">
        <v>12</v>
      </c>
      <c r="C12" s="1"/>
      <c r="D12" s="1"/>
      <c r="E12" s="1"/>
    </row>
    <row r="13">
      <c r="B13" t="s">
        <v>13</v>
      </c>
      <c r="C13">
        <f t="shared" ref="C13:E13" si="0">SUM(C10:C12)</f>
        <v>0</v>
      </c>
      <c r="D13">
        <f t="shared" si="0"/>
        <v>0</v>
      </c>
      <c r="E13">
        <f t="shared" si="0"/>
        <v>0</v>
      </c>
    </row>
    <row r="14">
      <c r="B14" t="s">
        <v>14</v>
      </c>
      <c r="C14" s="1"/>
      <c r="D14" s="1"/>
      <c r="E14" s="1">
        <v>50000</v>
      </c>
    </row>
    <row r="15">
      <c r="B15" t="s">
        <v>15</v>
      </c>
      <c r="C15" s="1"/>
      <c r="D15" s="1"/>
      <c r="E15" s="1"/>
    </row>
    <row r="16">
      <c r="B16" t="s">
        <v>16</v>
      </c>
      <c r="C16" s="1"/>
      <c r="D16" s="1"/>
      <c r="E16" s="1"/>
    </row>
    <row r="17">
      <c r="B17" t="s">
        <v>17</v>
      </c>
      <c r="C17" s="1"/>
      <c r="D17" s="1"/>
      <c r="E17" s="1"/>
    </row>
    <row r="18">
      <c r="B18" t="s">
        <v>18</v>
      </c>
      <c r="C18">
        <f>SUM(C14:C17)</f>
        <v>0</v>
      </c>
      <c r="D18">
        <f>SUM(D14:D17)</f>
        <v>0</v>
      </c>
      <c r="E18">
        <f>SUM(E14:E17)</f>
        <v>0</v>
      </c>
    </row>
    <row r="19">
      <c r="B19" t="s">
        <v>19</v>
      </c>
      <c r="C19" s="1"/>
      <c r="D19" s="1"/>
      <c r="E19" s="1"/>
    </row>
    <row r="20">
      <c r="B20" t="s">
        <v>20</v>
      </c>
      <c r="C20">
        <f>C13-C18</f>
        <v>0</v>
      </c>
      <c r="D20">
        <f>D13-D18</f>
        <v>0</v>
      </c>
      <c r="E20">
        <f>E13-E18</f>
        <v>0</v>
      </c>
    </row>
    <row r="21">
      <c r="B21" t="s">
        <v>21</v>
      </c>
      <c r="C21" s="1"/>
      <c r="D21" s="1"/>
      <c r="E21" s="1"/>
    </row>
    <row r="22">
      <c r="B22" t="s">
        <v>22</v>
      </c>
      <c r="C22">
        <f>C20-C19+C21</f>
        <v>0</v>
      </c>
      <c r="D22">
        <f>D20-D19+D21</f>
        <v>0</v>
      </c>
      <c r="E22">
        <f>E20-E19+E21</f>
        <v>0</v>
      </c>
    </row>
    <row r="23">
      <c r="B23" t="s">
        <v>23</v>
      </c>
      <c r="C23" s="1"/>
      <c r="D23" s="1"/>
      <c r="E23" s="1"/>
    </row>
    <row r="24">
      <c r="B24" t="s">
        <v>24</v>
      </c>
      <c r="C24">
        <f>C22-C23</f>
        <v>0</v>
      </c>
      <c r="D24">
        <f>D22-D23</f>
        <v>0</v>
      </c>
      <c r="E24">
        <f>E22-E23</f>
        <v>0</v>
      </c>
    </row>
    <row r="28">
      <c r="B28" t="s">
        <v>25</v>
      </c>
      <c r="C28" s="1">
        <v>1500</v>
      </c>
      <c r="D28" s="1">
        <v>1700</v>
      </c>
      <c r="E28" s="1"/>
    </row>
    <row r="29">
      <c r="B29" t="s">
        <v>26</v>
      </c>
      <c r="C29" s="1"/>
      <c r="D29" s="1"/>
      <c r="E29" s="1"/>
    </row>
    <row r="30">
      <c r="B30" t="s">
        <v>27</v>
      </c>
      <c r="C30" s="1"/>
      <c r="D30" s="1"/>
      <c r="E30" s="1"/>
    </row>
    <row r="31">
      <c r="B31" t="s">
        <v>28</v>
      </c>
      <c r="C31">
        <f>C24+C19-C28-C29-C30</f>
        <v>0</v>
      </c>
      <c r="D31">
        <f>D24+D19-D28-D29-D30</f>
        <v>0</v>
      </c>
      <c r="E31">
        <f>E24+E19-E28-E29-E30</f>
        <v>0</v>
      </c>
    </row>
    <row r="32">
      <c r="B32" t="s">
        <v>29</v>
      </c>
      <c r="C32" s="1"/>
      <c r="D32" s="1">
        <v>900</v>
      </c>
      <c r="E32" s="1"/>
    </row>
    <row r="33">
      <c r="B33" t="s">
        <v>30</v>
      </c>
      <c r="C33">
        <f>C31-C32</f>
        <v>0</v>
      </c>
      <c r="D33">
        <f>D31-D32</f>
        <v>0</v>
      </c>
      <c r="E33">
        <f>E31-E32</f>
        <v>0</v>
      </c>
    </row>
    <row r="37">
      <c r="B37" t="s">
        <v>31</v>
      </c>
      <c r="C37" s="1"/>
      <c r="D37" s="1"/>
      <c r="E37" s="1"/>
    </row>
    <row r="38">
      <c r="B38" t="s">
        <v>32</v>
      </c>
      <c r="C38" s="1"/>
      <c r="D38" s="1"/>
      <c r="E38" s="1"/>
    </row>
    <row r="39">
      <c r="B39" t="s">
        <v>33</v>
      </c>
      <c r="C39">
        <f>C37-C38</f>
        <v>0</v>
      </c>
      <c r="D39">
        <f>D37-D38</f>
        <v>0</v>
      </c>
      <c r="E39">
        <f>E37-E38</f>
        <v>0</v>
      </c>
    </row>
    <row r="40">
      <c r="B40" t="s">
        <v>34</v>
      </c>
      <c r="C40" s="1"/>
      <c r="D40" s="1"/>
      <c r="E40" s="1"/>
    </row>
    <row r="41">
      <c r="B41" t="s">
        <v>35</v>
      </c>
      <c r="C41">
        <f>C39-C40</f>
        <v>0</v>
      </c>
      <c r="D41">
        <f>D39-D40</f>
        <v>0</v>
      </c>
      <c r="E41">
        <f>E39-E40</f>
        <v>0</v>
      </c>
    </row>
    <row r="42">
      <c r="B42" t="s">
        <v>36</v>
      </c>
      <c r="C42" s="1"/>
      <c r="D42" s="1"/>
      <c r="E42" s="1"/>
    </row>
    <row r="43">
      <c r="B43" t="s">
        <v>37</v>
      </c>
      <c r="C43">
        <f>C41-C42</f>
        <v>0</v>
      </c>
      <c r="D43">
        <f>D41-D42</f>
        <v>0</v>
      </c>
      <c r="E43">
        <f>E41-E42</f>
        <v>0</v>
      </c>
    </row>
    <row r="47">
      <c r="B47" t="s">
        <v>38</v>
      </c>
      <c r="C47" s="1"/>
      <c r="D47" s="1"/>
      <c r="E47" s="1"/>
    </row>
    <row r="48">
      <c r="B48" t="s">
        <v>39</v>
      </c>
      <c r="C48" s="1"/>
      <c r="D48" s="1"/>
      <c r="E48" s="1"/>
    </row>
    <row r="49">
      <c r="B49" t="s">
        <v>40</v>
      </c>
      <c r="C49">
        <f>C47*C48/100</f>
        <v>0</v>
      </c>
      <c r="D49">
        <f>D47*D48/100</f>
        <v>0</v>
      </c>
      <c r="E49">
        <f>E47*E48/100</f>
        <v>0</v>
      </c>
    </row>
    <row r="50">
      <c r="B50" t="s">
        <v>34</v>
      </c>
      <c r="C50" s="1"/>
      <c r="D50" s="1"/>
      <c r="E50" s="1"/>
    </row>
    <row r="51">
      <c r="B51" t="s">
        <v>35</v>
      </c>
      <c r="C51">
        <f>C49-C50</f>
        <v>0</v>
      </c>
      <c r="D51">
        <f>D49-D50</f>
        <v>0</v>
      </c>
      <c r="E51">
        <f>E49-E50</f>
        <v>0</v>
      </c>
    </row>
    <row r="52">
      <c r="B52" t="s">
        <v>41</v>
      </c>
      <c r="C52" s="1"/>
      <c r="D52" s="1"/>
      <c r="E52" s="1"/>
    </row>
    <row r="53">
      <c r="B53" t="s">
        <v>37</v>
      </c>
      <c r="C53">
        <f>C51-C52</f>
        <v>0</v>
      </c>
      <c r="D53">
        <f>D51-D52</f>
        <v>0</v>
      </c>
      <c r="E53">
        <f>E51-E52</f>
        <v>0</v>
      </c>
    </row>
    <row r="57">
      <c r="B57" t="s">
        <v>42</v>
      </c>
      <c r="C57">
        <f>C33</f>
        <v>0</v>
      </c>
      <c r="D57">
        <f>D33</f>
        <v>0</v>
      </c>
      <c r="E57">
        <f>E33</f>
        <v>0</v>
      </c>
    </row>
    <row r="58">
      <c r="B58" t="s">
        <v>43</v>
      </c>
      <c r="C58">
        <f>C43</f>
        <v>0</v>
      </c>
      <c r="D58">
        <f>D43</f>
        <v>0</v>
      </c>
      <c r="E58">
        <f>E43</f>
        <v>0</v>
      </c>
    </row>
    <row r="59">
      <c r="B59" t="s">
        <v>44</v>
      </c>
      <c r="C59">
        <f>C53</f>
        <v>0</v>
      </c>
      <c r="D59">
        <f>D53</f>
        <v>0</v>
      </c>
      <c r="E59">
        <f>E53</f>
        <v>0</v>
      </c>
    </row>
  </sheetData>
  <sheetProtection password="CC1A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4"/>
  <sheetData>
    <row r="1">
      <c r="A1" t="s">
        <v>45</v>
      </c>
      <c r="B1" t="s">
        <v>46</v>
      </c>
    </row>
    <row r="2">
      <c r="A2" t="s">
        <v>47</v>
      </c>
      <c r="B2">
        <v>1000</v>
      </c>
    </row>
  </sheetData>
  <sheetProtection password="CC1A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5"/>
  <sheetData>
    <row r="1">
      <c r="A1" t="s">
        <v>48</v>
      </c>
      <c r="B1" t="s">
        <v>49</v>
      </c>
    </row>
    <row r="2">
      <c r="A2" t="s">
        <v>50</v>
      </c>
      <c r="B2">
        <v>2025</v>
      </c>
    </row>
  </sheetData>
  <sheetProtection password="CC1A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6"/>
  <sheetData>
    <row r="1">
      <c r="A1" t="s">
        <v>51</v>
      </c>
      <c r="B1" t="s">
        <v>52</v>
      </c>
    </row>
  </sheetData>
  <sheetProtection password="CC1A" sheet="1" objects="1" scenarios="1"/>
  <pageMargins left="0.7" right="0.7" top="0.75" bottom="0.75" header="0.3" footer="0.3"/>
</worksheet>
</file>